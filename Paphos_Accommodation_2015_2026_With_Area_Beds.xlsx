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29d04cdb5044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phos District Detail" sheetId="1" r:id="R81bde9e53660410c"/>
    <x:sheet xmlns:r="http://schemas.openxmlformats.org/officeDocument/2006/relationships" name="Paphos City" sheetId="2" r:id="Rea8562f815f74777"/>
    <x:sheet xmlns:r="http://schemas.openxmlformats.org/officeDocument/2006/relationships" name="Pegeia Area" sheetId="3" r:id="R146c18bbfc7747f8"/>
    <x:sheet xmlns:r="http://schemas.openxmlformats.org/officeDocument/2006/relationships" name="Paphos History 2015-2026" sheetId="4" r:id="R8e3888b1e9244bc0"/>
    <x:sheet xmlns:r="http://schemas.openxmlformats.org/officeDocument/2006/relationships" name="Paphos Areas Beds 2015-26" sheetId="5" r:id="R414a00129d214a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0.00%"/>
  </x:numFmts>
  <x:fonts count="8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1F1F"/>
      <x:name val="Carlito"/>
    </x:font>
    <x:font>
      <x:b/>
      <x:sz val="11"/>
      <x:name val="Carlito"/>
    </x:font>
    <x:font>
      <x:i/>
      <x:sz val="11"/>
      <x:color rgb="FF1F1F1F"/>
      <x:name val="Carlito"/>
    </x:font>
    <x:font>
      <x:i/>
      <x:sz val="11"/>
      <x:color rgb="FF666666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BDD7EE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DDEBF7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EEF5FB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11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0" fillId="0" borderId="0" xfId="0" applyNumberFormat="1" applyFont="1" applyFill="1" applyBorder="1"/>
    <x:xf numFmtId="200" fontId="3" fillId="4" borderId="0" xfId="0" applyNumberFormat="1" applyFont="1" applyFill="1" applyBorder="1"/>
    <x:xf numFmtId="200" fontId="0" fillId="0" borderId="1" xfId="0" applyNumberFormat="1" applyFont="1" applyFill="1" applyBorder="1"/>
    <x:xf numFmtId="20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200" fontId="3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20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200" fontId="3" fillId="5" borderId="0" xfId="0" applyNumberFormat="1" applyFont="1" applyFill="1" applyBorder="1"/>
    <x:xf numFmtId="200" fontId="3" fillId="5" borderId="1" xfId="0" applyNumberFormat="1" applyFont="1" applyFill="1" applyBorder="1"/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left"/>
    </x:xf>
    <x:xf numFmtId="0" fontId="1" fillId="6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vertical="center" wrapText="1"/>
    </x:xf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200" fontId="0" fillId="8" borderId="0" xfId="0" applyNumberFormat="1" applyFont="1" applyFill="1" applyBorder="1" applyAlignment="1">
      <x:alignment wrapText="1"/>
    </x:xf>
    <x:xf numFmtId="201" fontId="0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200" fontId="0" fillId="9" borderId="0" xfId="0" applyNumberFormat="1" applyFont="1" applyFill="1" applyBorder="1" applyAlignment="1">
      <x:alignment wrapText="1"/>
    </x:xf>
    <x:xf numFmtId="201" fontId="0" fillId="1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200" fontId="0" fillId="10" borderId="0" xfId="0" applyNumberFormat="1" applyFont="1" applyFill="1" applyBorder="1" applyAlignment="1">
      <x:alignment wrapText="1"/>
    </x:xf>
    <x:xf numFmtId="201" fontId="5" fillId="10" borderId="0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wrapText="1"/>
    </x:xf>
    <x:xf numFmtId="200" fontId="5" fillId="10" borderId="0" xfId="0" applyNumberFormat="1" applyFont="1" applyFill="1" applyBorder="1" applyAlignment="1">
      <x:alignment wrapText="1"/>
    </x:xf>
    <x:xf numFmtId="201" fontId="0" fillId="11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  <x:xf numFmtId="200" fontId="0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6" fillId="12" borderId="0" xfId="0" applyNumberFormat="1" applyFont="1" applyFill="1" applyBorder="1"/>
    <x:xf numFmtId="0" fontId="6" fillId="12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201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horizontal="center"/>
    </x:xf>
    <x:xf numFmtId="0" fontId="1" fillId="13" borderId="0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7" fillId="15" borderId="0" xfId="0" applyNumberFormat="1" applyFont="1" applyFill="1" applyBorder="1"/>
    <x:xf numFmtId="0" fontId="7" fillId="15" borderId="0" xfId="0" applyNumberFormat="1" applyFont="1" applyFill="1" applyBorder="1" applyAlignment="1">
      <x:alignment wrapText="1"/>
    </x:xf>
    <x:xf numFmtId="0" fontId="7" fillId="15" borderId="0" xfId="0" applyNumberFormat="1" applyFont="1" applyFill="1" applyBorder="1" applyAlignment="1">
      <x:alignment horizontal="center" wrapText="1"/>
    </x:xf>
    <x:xf numFmtId="0" fontId="7" fillId="15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2" fillId="16" borderId="0" xfId="0" applyNumberFormat="1" applyFont="1" applyFill="1" applyBorder="1"/>
    <x:xf numFmtId="0" fontId="2" fillId="16" borderId="0" xfId="0" applyNumberFormat="1" applyFont="1" applyFill="1" applyBorder="1" applyAlignment="1">
      <x:alignment horizontal="left"/>
    </x:xf>
    <x:xf numFmtId="0" fontId="2" fillId="16" borderId="0" xfId="0" applyNumberFormat="1" applyFont="1" applyFill="1" applyBorder="1" applyAlignment="1">
      <x:alignment horizontal="left" vertical="center"/>
    </x:xf>
    <x:xf numFmtId="202" fontId="0" fillId="0" borderId="0" xfId="0" applyNumberFormat="1" applyFont="1" applyFill="1" applyBorder="1"/>
    <x:xf numFmtId="0" fontId="7" fillId="15" borderId="2" xfId="0" applyNumberFormat="1" applyFont="1" applyFill="1" applyBorder="1" applyAlignment="1">
      <x:alignment horizontal="center" vertical="center" wrapText="1"/>
    </x:xf>
    <x:xf numFmtId="0" fontId="7" fillId="15" borderId="3" xfId="0" applyNumberFormat="1" applyFont="1" applyFill="1" applyBorder="1" applyAlignment="1">
      <x:alignment horizontal="center" vertical="center" wrapText="1"/>
    </x:xf>
    <x:xf numFmtId="0" fontId="7" fillId="15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200" fontId="0" fillId="0" borderId="6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0" fillId="0" borderId="9" xfId="0" applyNumberFormat="1" applyFont="1" applyFill="1" applyBorder="1"/>
    <x:xf numFmtId="200" fontId="0" fillId="0" borderId="10" xfId="0" applyNumberFormat="1" applyFont="1" applyFill="1" applyBorder="1"/>
    <x:xf numFmtId="202" fontId="0" fillId="0" borderId="7" xfId="0" applyNumberFormat="1" applyFont="1" applyFill="1" applyBorder="1"/>
    <x:xf numFmtId="202" fontId="0" fillId="0" borderId="10" xfId="0" applyNumberFormat="1" applyFont="1" applyFill="1" applyBorder="1"/>
    <x:xf numFmtId="0" fontId="0" fillId="0" borderId="7" xfId="0" applyNumberFormat="1" applyFont="1" applyFill="1" applyBorder="1"/>
    <x:xf numFmtId="0" fontId="0" fillId="0" borderId="10" xfId="0" applyNumberFormat="1" applyFont="1" applyFill="1" applyBorder="1"/>
    <x:xf numFmtId="0" fontId="2" fillId="16" borderId="2" xfId="0" applyNumberFormat="1" applyFont="1" applyFill="1" applyBorder="1" applyAlignment="1">
      <x:alignment horizontal="left" vertical="center"/>
    </x:xf>
    <x:xf numFmtId="0" fontId="2" fillId="16" borderId="3" xfId="0" applyNumberFormat="1" applyFont="1" applyFill="1" applyBorder="1" applyAlignment="1">
      <x:alignment horizontal="left" vertical="center"/>
    </x:xf>
    <x:xf numFmtId="0" fontId="2" fillId="16" borderId="4" xfId="0" applyNumberFormat="1" applyFont="1" applyFill="1" applyBorder="1" applyAlignment="1">
      <x:alignment horizontal="left" vertical="center"/>
    </x:xf>
    <x:xf numFmtId="0" fontId="0" fillId="0" borderId="5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202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2" fontId="0" fillId="0" borderId="1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0" fontId="0" fillId="0" borderId="10" xfId="0" applyNumberFormat="1" applyFont="1" applyFill="1" applyBorder="1" applyAlignment="1">
      <x:alignment wrapText="1"/>
    </x:xf>
    <x:xf numFmtId="0" fontId="2" fillId="16" borderId="0" xfId="0" applyNumberFormat="1" applyFont="1" applyFill="1" applyBorder="1" applyAlignment="1">
      <x:alignment horizontal="left" vertical="center"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2" fillId="16" borderId="2" xfId="0" applyNumberFormat="1" applyFont="1" applyFill="1" applyBorder="1" applyAlignment="1">
      <x:alignment horizontal="left" vertical="center" wrapText="1"/>
    </x:xf>
    <x:xf numFmtId="0" fontId="2" fillId="16" borderId="3" xfId="0" applyNumberFormat="1" applyFont="1" applyFill="1" applyBorder="1" applyAlignment="1">
      <x:alignment horizontal="left" vertical="center" wrapText="1"/>
    </x:xf>
    <x:xf numFmtId="0" fontId="2" fillId="16" borderId="4" xfId="0" applyNumberFormat="1" applyFont="1" applyFill="1" applyBorder="1" applyAlignment="1">
      <x:alignment horizontal="left" vertical="center" wrapText="1"/>
    </x:xf>
    <x:xf numFmtId="0" fontId="0" fillId="0" borderId="5" xfId="0" applyNumberFormat="1" applyFont="1" applyFill="1" applyBorder="1" applyAlignment="1">
      <x:alignment horizontal="center" wrapText="1"/>
    </x:xf>
    <x:xf numFmtId="0" fontId="0" fillId="0" borderId="8" xfId="0" applyNumberFormat="1" applyFont="1" applyFill="1" applyBorder="1" applyAlignment="1">
      <x:alignment horizontal="center" wrapText="1"/>
    </x:xf>
    <x:xf numFmtId="200" fontId="0" fillId="0" borderId="6" xfId="0" applyNumberFormat="1" applyFont="1" applyFill="1" applyBorder="1" applyAlignment="1">
      <x:alignment horizontal="right" wrapText="1"/>
    </x:xf>
    <x:xf numFmtId="200" fontId="0" fillId="0" borderId="9" xfId="0" applyNumberFormat="1" applyFont="1" applyFill="1" applyBorder="1" applyAlignment="1">
      <x:alignment horizontal="right" wrapText="1"/>
    </x:xf>
    <x:xf numFmtId="200" fontId="0" fillId="0" borderId="7" xfId="0" applyNumberFormat="1" applyFont="1" applyFill="1" applyBorder="1" applyAlignment="1">
      <x:alignment horizontal="right" wrapText="1"/>
    </x:xf>
    <x:xf numFmtId="200" fontId="0" fillId="0" borderId="10" xfId="0" applyNumberFormat="1" applyFont="1" applyFill="1" applyBorder="1" applyAlignment="1">
      <x:alignment horizontal="righ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ec7ee46fd34cf1" /><Relationship Type="http://schemas.openxmlformats.org/officeDocument/2006/relationships/theme" Target="/xl/theme/theme1.xml" Id="R0c2536f9458c48c0" /><Relationship Type="http://schemas.openxmlformats.org/officeDocument/2006/relationships/sharedStrings" Target="/xl/sharedStrings.xml" Id="R113e6a8df3914664" /><Relationship Type="http://schemas.openxmlformats.org/officeDocument/2006/relationships/worksheet" Target="/xl/worksheets/sheet1.xml" Id="R81bde9e53660410c" /><Relationship Type="http://schemas.openxmlformats.org/officeDocument/2006/relationships/worksheet" Target="/xl/worksheets/sheet2.xml" Id="Rea8562f815f74777" /><Relationship Type="http://schemas.openxmlformats.org/officeDocument/2006/relationships/worksheet" Target="/xl/worksheets/sheet3.xml" Id="R146c18bbfc7747f8" /><Relationship Type="http://schemas.openxmlformats.org/officeDocument/2006/relationships/worksheet" Target="/xl/worksheets/sheet4.xml" Id="R8e3888b1e9244bc0" /><Relationship Type="http://schemas.openxmlformats.org/officeDocument/2006/relationships/worksheet" Target="/xl/worksheets/sheet5.xml" Id="R414a00129d214a3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5a35a4667e7458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Paphos Registered Tourist Bed Capacity — Available Historical Points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Beds</c:v>
          </c:tx>
          <c:marker>
            <c:symbol val="none"/>
          </c:marker>
          <c:cat>
            <c:strRef>
              <c:f>'Paphos History 2015-2026'!$J$5:$J$16</c:f>
              <c:strCache>
                <c:ptCount val="0"/>
              </c:strCache>
            </c:strRef>
          </c:cat>
          <c:val>
            <c:numRef>
              <c:f>'Paphos History 2015-2026'!$K$5:$K$16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5a35a4667e7458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43b910695a9245a2" /></Relationships>
</file>

<file path=xl/worksheets/sheet1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5" t="str">
        <x:v>Paphos District — Detailed Accommodation Capacity</x:v>
      </x:c>
      <x:c r="B1" s="5"/>
      <x:c r="C1" s="5"/>
      <x:c r="D1" s="5"/>
      <x:c r="E1" s="5"/>
      <x:c r="F1" s="5"/>
    </x:row>
    <x:row r="2">
      <x:c r="A2" s="14" t="str">
        <x:v>Small area</x:v>
      </x:c>
      <x:c r="B2" s="14" t="str">
        <x:v>Establishments</x:v>
      </x:c>
      <x:c r="C2" s="14" t="str">
        <x:v>Hotel / guesthouse rooms</x:v>
      </x:c>
      <x:c r="D2" s="14" t="str">
        <x:v>Other accommodation units</x:v>
      </x:c>
      <x:c r="E2" s="14" t="str">
        <x:v>Total units</x:v>
      </x:c>
      <x:c r="F2" s="14" t="str">
        <x:v>Beds</x:v>
      </x:c>
    </x:row>
    <x:row r="3">
      <x:c r="A3" s="28" t="str">
        <x:v>Ktima / Old Town</x:v>
      </x:c>
      <x:c r="B3" s="29" t="n">
        <x:v>5</x:v>
      </x:c>
      <x:c r="C3" s="29" t="n">
        <x:v>80</x:v>
      </x:c>
      <x:c r="D3" s="29" t="n">
        <x:v>3</x:v>
      </x:c>
      <x:c r="E3" s="29" t="n">
        <x:f>C3+D3</x:f>
        <x:v>83</x:v>
      </x:c>
      <x:c r="F3" s="29" t="n">
        <x:v>157</x:v>
      </x:c>
    </x:row>
    <x:row r="4">
      <x:c r="A4" s="28" t="str">
        <x:v>Tombs of the Kings / West Paphos</x:v>
      </x:c>
      <x:c r="B4" s="29" t="n">
        <x:v>17</x:v>
      </x:c>
      <x:c r="C4" s="29" t="n">
        <x:v>957</x:v>
      </x:c>
      <x:c r="D4" s="29" t="n">
        <x:v>805</x:v>
      </x:c>
      <x:c r="E4" s="29" t="n">
        <x:f>C4+D4</x:f>
        <x:v>1762</x:v>
      </x:c>
      <x:c r="F4" s="29" t="n">
        <x:v>3756</x:v>
      </x:c>
    </x:row>
    <x:row r="5">
      <x:c r="A5" s="28" t="str">
        <x:v>Kato Paphos / harbour / south coast / Universal</x:v>
      </x:c>
      <x:c r="B5" s="29" t="n">
        <x:v>36</x:v>
      </x:c>
      <x:c r="C5" s="29" t="n">
        <x:v>3584</x:v>
      </x:c>
      <x:c r="D5" s="29" t="n">
        <x:v>921</x:v>
      </x:c>
      <x:c r="E5" s="29" t="n">
        <x:f>C5+D5</x:f>
        <x:v>4505</x:v>
      </x:c>
      <x:c r="F5" s="29" t="n">
        <x:v>9232</x:v>
      </x:c>
    </x:row>
    <x:row r="6">
      <x:c r="A6" s="30" t="str">
        <x:v>Paphos city subtotal</x:v>
      </x:c>
      <x:c r="B6" s="31" t="n">
        <x:v>58</x:v>
      </x:c>
      <x:c r="C6" s="31" t="n">
        <x:v>4621</x:v>
      </x:c>
      <x:c r="D6" s="31" t="n">
        <x:v>1729</x:v>
      </x:c>
      <x:c r="E6" s="31" t="n">
        <x:f>C6+D6</x:f>
        <x:v>6350</x:v>
      </x:c>
      <x:c r="F6" s="31" t="n">
        <x:v>13145</x:v>
      </x:c>
    </x:row>
    <x:row r="7">
      <x:c r="A7" s="28" t="str">
        <x:v>Chloraka</x:v>
      </x:c>
      <x:c r="B7" s="29" t="n">
        <x:v>13</x:v>
      </x:c>
      <x:c r="C7" s="29" t="n">
        <x:v>1131</x:v>
      </x:c>
      <x:c r="D7" s="29" t="n">
        <x:v>862</x:v>
      </x:c>
      <x:c r="E7" s="29" t="n">
        <x:f>C7+D7</x:f>
        <x:v>1993</x:v>
      </x:c>
      <x:c r="F7" s="29" t="n">
        <x:v>4014</x:v>
      </x:c>
    </x:row>
    <x:row r="8">
      <x:c r="A8" s="28" t="str">
        <x:v>Geroskipou</x:v>
      </x:c>
      <x:c r="B8" s="29" t="n">
        <x:v>9</x:v>
      </x:c>
      <x:c r="C8" s="29" t="n">
        <x:v>1761</x:v>
      </x:c>
      <x:c r="D8" s="29" t="n">
        <x:v>147</x:v>
      </x:c>
      <x:c r="E8" s="29" t="n">
        <x:f>C8+D8</x:f>
        <x:v>1908</x:v>
      </x:c>
      <x:c r="F8" s="29" t="n">
        <x:v>3844</x:v>
      </x:c>
    </x:row>
    <x:row r="9">
      <x:c r="A9" s="28" t="str">
        <x:v>Kissonerga</x:v>
      </x:c>
      <x:c r="B9" s="29" t="n">
        <x:v>9</x:v>
      </x:c>
      <x:c r="C9" s="29" t="n">
        <x:v>1068</x:v>
      </x:c>
      <x:c r="D9" s="29" t="n">
        <x:v>148</x:v>
      </x:c>
      <x:c r="E9" s="29" t="n">
        <x:f>C9+D9</x:f>
        <x:v>1216</x:v>
      </x:c>
      <x:c r="F9" s="29" t="n">
        <x:v>2413</x:v>
      </x:c>
    </x:row>
    <x:row r="10">
      <x:c r="A10" s="28" t="str">
        <x:v>Coral Bay</x:v>
      </x:c>
      <x:c r="B10" s="29" t="n">
        <x:v>10</x:v>
      </x:c>
      <x:c r="C10" s="29" t="n">
        <x:v>939</x:v>
      </x:c>
      <x:c r="D10" s="29" t="n">
        <x:v>369</x:v>
      </x:c>
      <x:c r="E10" s="29" t="n">
        <x:f>C10+D10</x:f>
        <x:v>1308</x:v>
      </x:c>
      <x:c r="F10" s="29" t="n">
        <x:v>2746</x:v>
      </x:c>
    </x:row>
    <x:row r="11">
      <x:c r="A11" s="28" t="str">
        <x:v>Agios Georgios, Pegeia</x:v>
      </x:c>
      <x:c r="B11" s="29" t="n">
        <x:v>2</x:v>
      </x:c>
      <x:c r="C11" s="29" t="n">
        <x:v>227</x:v>
      </x:c>
      <x:c r="D11" s="29" t="n">
        <x:v>0</x:v>
      </x:c>
      <x:c r="E11" s="29" t="n">
        <x:f>C11+D11</x:f>
        <x:v>227</x:v>
      </x:c>
      <x:c r="F11" s="29" t="n">
        <x:v>454</x:v>
      </x:c>
    </x:row>
    <x:row r="12">
      <x:c r="A12" s="28" t="str">
        <x:v>Pegeia – other</x:v>
      </x:c>
      <x:c r="B12" s="29" t="n">
        <x:v>6</x:v>
      </x:c>
      <x:c r="C12" s="29" t="n">
        <x:v>0</x:v>
      </x:c>
      <x:c r="D12" s="29" t="n">
        <x:v>8</x:v>
      </x:c>
      <x:c r="E12" s="29" t="n">
        <x:f>C12+D12</x:f>
        <x:v>8</x:v>
      </x:c>
      <x:c r="F12" s="29" t="n">
        <x:v>42</x:v>
      </x:c>
    </x:row>
    <x:row r="13">
      <x:c r="A13" s="30" t="str">
        <x:v>Pegeia total</x:v>
      </x:c>
      <x:c r="B13" s="31" t="n">
        <x:v>18</x:v>
      </x:c>
      <x:c r="C13" s="31" t="n">
        <x:v>1166</x:v>
      </x:c>
      <x:c r="D13" s="31" t="n">
        <x:v>377</x:v>
      </x:c>
      <x:c r="E13" s="31" t="n">
        <x:f>C13+D13</x:f>
        <x:v>1543</x:v>
      </x:c>
      <x:c r="F13" s="31" t="n">
        <x:v>3242</x:v>
      </x:c>
    </x:row>
    <x:row r="14">
      <x:c r="A14" s="28" t="str">
        <x:v>Tala</x:v>
      </x:c>
      <x:c r="B14" s="29" t="n">
        <x:v>0</x:v>
      </x:c>
      <x:c r="C14" s="29" t="n">
        <x:v>0</x:v>
      </x:c>
      <x:c r="D14" s="29" t="n">
        <x:v>0</x:v>
      </x:c>
      <x:c r="E14" s="29" t="n">
        <x:f>C14+D14</x:f>
        <x:v>0</x:v>
      </x:c>
      <x:c r="F14" s="29" t="n">
        <x:v>0</x:v>
      </x:c>
    </x:row>
    <x:row r="15">
      <x:c r="A15" s="28" t="str">
        <x:v>Emba</x:v>
      </x:c>
      <x:c r="B15" s="29" t="n">
        <x:v>0</x:v>
      </x:c>
      <x:c r="C15" s="29" t="n">
        <x:v>0</x:v>
      </x:c>
      <x:c r="D15" s="29" t="n">
        <x:v>0</x:v>
      </x:c>
      <x:c r="E15" s="29" t="n">
        <x:f>C15+D15</x:f>
        <x:v>0</x:v>
      </x:c>
      <x:c r="F15" s="29" t="n">
        <x:v>0</x:v>
      </x:c>
    </x:row>
    <x:row r="16">
      <x:c r="A16" s="28" t="str">
        <x:v>Kouklia / Aphrodite Hills</x:v>
      </x:c>
      <x:c r="B16" s="29" t="n">
        <x:v>3</x:v>
      </x:c>
      <x:c r="C16" s="29" t="n">
        <x:v>290</x:v>
      </x:c>
      <x:c r="D16" s="29" t="n">
        <x:v>2</x:v>
      </x:c>
      <x:c r="E16" s="29" t="n">
        <x:f>C16+D16</x:f>
        <x:v>292</x:v>
      </x:c>
      <x:c r="F16" s="29" t="n">
        <x:v>594</x:v>
      </x:c>
    </x:row>
    <x:row r="17">
      <x:c r="A17" s="28" t="str">
        <x:v>Konia</x:v>
      </x:c>
      <x:c r="B17" s="29" t="n">
        <x:v>1</x:v>
      </x:c>
      <x:c r="C17" s="29" t="n">
        <x:v>0</x:v>
      </x:c>
      <x:c r="D17" s="29" t="n">
        <x:v>46</x:v>
      </x:c>
      <x:c r="E17" s="29" t="n">
        <x:f>C17+D17</x:f>
        <x:v>46</x:v>
      </x:c>
      <x:c r="F17" s="29" t="n">
        <x:v>114</x:v>
      </x:c>
    </x:row>
    <x:row r="18">
      <x:c r="A18" s="28" t="str">
        <x:v>Timi</x:v>
      </x:c>
      <x:c r="B18" s="29" t="n">
        <x:v>0</x:v>
      </x:c>
      <x:c r="C18" s="29" t="n">
        <x:v>0</x:v>
      </x:c>
      <x:c r="D18" s="29" t="n">
        <x:v>0</x:v>
      </x:c>
      <x:c r="E18" s="29" t="n">
        <x:f>C18+D18</x:f>
        <x:v>0</x:v>
      </x:c>
      <x:c r="F18" s="29" t="n">
        <x:v>0</x:v>
      </x:c>
    </x:row>
    <x:row r="19">
      <x:c r="A19" s="28" t="str">
        <x:v>Polis Chrysochous</x:v>
      </x:c>
      <x:c r="B19" s="29" t="n">
        <x:v>16</x:v>
      </x:c>
      <x:c r="C19" s="29" t="n">
        <x:v>153</x:v>
      </x:c>
      <x:c r="D19" s="29" t="n">
        <x:v>316</x:v>
      </x:c>
      <x:c r="E19" s="29" t="n">
        <x:f>C19+D19</x:f>
        <x:v>469</x:v>
      </x:c>
      <x:c r="F19" s="29" t="n">
        <x:v>1012</x:v>
      </x:c>
    </x:row>
    <x:row r="20">
      <x:c r="A20" s="28" t="str">
        <x:v>Neo Chorio / Baths of Aphrodite</x:v>
      </x:c>
      <x:c r="B20" s="29" t="n">
        <x:v>9</x:v>
      </x:c>
      <x:c r="C20" s="29" t="n">
        <x:v>274</x:v>
      </x:c>
      <x:c r="D20" s="29" t="n">
        <x:v>98</x:v>
      </x:c>
      <x:c r="E20" s="29" t="n">
        <x:f>C20+D20</x:f>
        <x:v>372</x:v>
      </x:c>
      <x:c r="F20" s="29" t="n">
        <x:v>890</x:v>
      </x:c>
    </x:row>
    <x:row r="21">
      <x:c r="A21" s="28" t="str">
        <x:v>Drouseia</x:v>
      </x:c>
      <x:c r="B21" s="29" t="n">
        <x:v>5</x:v>
      </x:c>
      <x:c r="C21" s="29" t="n">
        <x:v>76</x:v>
      </x:c>
      <x:c r="D21" s="29" t="n">
        <x:v>16</x:v>
      </x:c>
      <x:c r="E21" s="29" t="n">
        <x:f>C21+D21</x:f>
        <x:v>92</x:v>
      </x:c>
      <x:c r="F21" s="29" t="n">
        <x:v>182</x:v>
      </x:c>
    </x:row>
    <x:row r="22">
      <x:c r="A22" s="28" t="str">
        <x:v>Miliou</x:v>
      </x:c>
      <x:c r="B22" s="29" t="n">
        <x:v>1</x:v>
      </x:c>
      <x:c r="C22" s="29" t="n">
        <x:v>56</x:v>
      </x:c>
      <x:c r="D22" s="29" t="n">
        <x:v>0</x:v>
      </x:c>
      <x:c r="E22" s="29" t="n">
        <x:f>C22+D22</x:f>
        <x:v>56</x:v>
      </x:c>
      <x:c r="F22" s="29" t="n">
        <x:v>112</x:v>
      </x:c>
    </x:row>
    <x:row r="23">
      <x:c r="A23" s="28" t="str">
        <x:v>Lysos</x:v>
      </x:c>
      <x:c r="B23" s="29" t="n">
        <x:v>2</x:v>
      </x:c>
      <x:c r="C23" s="29" t="n">
        <x:v>27</x:v>
      </x:c>
      <x:c r="D23" s="29" t="n">
        <x:v>3</x:v>
      </x:c>
      <x:c r="E23" s="29" t="n">
        <x:f>C23+D23</x:f>
        <x:v>30</x:v>
      </x:c>
      <x:c r="F23" s="29" t="n">
        <x:v>60</x:v>
      </x:c>
    </x:row>
    <x:row r="24">
      <x:c r="A24" s="28" t="str">
        <x:v>Pomos</x:v>
      </x:c>
      <x:c r="B24" s="29" t="n">
        <x:v>0</x:v>
      </x:c>
      <x:c r="C24" s="29" t="n">
        <x:v>0</x:v>
      </x:c>
      <x:c r="D24" s="29" t="n">
        <x:v>0</x:v>
      </x:c>
      <x:c r="E24" s="29" t="n">
        <x:f>C24+D24</x:f>
        <x:v>0</x:v>
      </x:c>
      <x:c r="F24" s="29" t="n">
        <x:v>0</x:v>
      </x:c>
    </x:row>
    <x:row r="25">
      <x:c r="A25" s="28" t="str">
        <x:v>Argaka</x:v>
      </x:c>
      <x:c r="B25" s="29" t="n">
        <x:v>0</x:v>
      </x:c>
      <x:c r="C25" s="29" t="n">
        <x:v>0</x:v>
      </x:c>
      <x:c r="D25" s="29" t="n">
        <x:v>0</x:v>
      </x:c>
      <x:c r="E25" s="29" t="n">
        <x:f>C25+D25</x:f>
        <x:v>0</x:v>
      </x:c>
      <x:c r="F25" s="29" t="n">
        <x:v>0</x:v>
      </x:c>
    </x:row>
    <x:row r="26">
      <x:c r="A26" s="28" t="str">
        <x:v>Tsada</x:v>
      </x:c>
      <x:c r="B26" s="29" t="n">
        <x:v>1</x:v>
      </x:c>
      <x:c r="C26" s="29" t="n">
        <x:v>0</x:v>
      </x:c>
      <x:c r="D26" s="29" t="n">
        <x:v>2</x:v>
      </x:c>
      <x:c r="E26" s="29" t="n">
        <x:f>C26+D26</x:f>
        <x:v>2</x:v>
      </x:c>
      <x:c r="F26" s="29" t="n">
        <x:v>4</x:v>
      </x:c>
    </x:row>
    <x:row r="28">
      <x:c r="A28" s="28" t="str">
        <x:v>* Other units include registered apartments, villas, tourist-village units, traditional accommodation units and camping units/pitches where applicable.</x:v>
      </x:c>
    </x:row>
    <x:row r="29">
      <x:c r="A29" t="str">
        <x:v>Source: Cyprus Deputy Ministry of Tourism / Visit Cyprus, Hotels and Other Tourist Establishments List, 16 Feb 2026</x:v>
      </x:c>
    </x:row>
    <x:row r="30">
      <x:c r="A30" t="str">
        <x:v>https://www.visitcyprus.com/wp-content/uploads/2026/02/PANCYPRIAN_HOTELS_16.2.2026.pdf</x:v>
      </x:c>
    </x:row>
  </x:sheetData>
  <x:mergeCells>
    <x:mergeCell ref="A1:F1"/>
    <x:mergeCell ref="A28:F28"/>
    <x:mergeCell ref="A29:F29"/>
    <x:mergeCell ref="A30:F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5" t="str">
        <x:v>Paphos City — Accommodation Capacity by Sector</x:v>
      </x:c>
      <x:c r="B1" s="5"/>
      <x:c r="C1" s="5"/>
      <x:c r="D1" s="5"/>
      <x:c r="E1" s="5"/>
      <x:c r="F1" s="5"/>
    </x:row>
    <x:row r="2">
      <x:c r="A2" s="14" t="str">
        <x:v>Paphos city sector</x:v>
      </x:c>
      <x:c r="B2" s="14" t="str">
        <x:v>Establishments</x:v>
      </x:c>
      <x:c r="C2" s="14" t="str">
        <x:v>Rooms</x:v>
      </x:c>
      <x:c r="D2" s="14" t="str">
        <x:v>Other units</x:v>
      </x:c>
      <x:c r="E2" s="14" t="str">
        <x:v>Total units</x:v>
      </x:c>
      <x:c r="F2" s="14" t="str">
        <x:v>Beds</x:v>
      </x:c>
    </x:row>
    <x:row r="3">
      <x:c r="A3" t="str">
        <x:v>Ktima / Old Town</x:v>
      </x:c>
      <x:c r="B3" s="24" t="n">
        <x:v>5</x:v>
      </x:c>
      <x:c r="C3" s="24" t="n">
        <x:v>80</x:v>
      </x:c>
      <x:c r="D3" s="24" t="n">
        <x:v>3</x:v>
      </x:c>
      <x:c r="E3" s="24" t="n">
        <x:f>C3+D3</x:f>
        <x:v>83</x:v>
      </x:c>
      <x:c r="F3" s="24" t="n">
        <x:v>157</x:v>
      </x:c>
    </x:row>
    <x:row r="4">
      <x:c r="A4" t="str">
        <x:v>Tombs of Kings / west Paphos</x:v>
      </x:c>
      <x:c r="B4" s="24" t="n">
        <x:v>17</x:v>
      </x:c>
      <x:c r="C4" s="24" t="n">
        <x:v>957</x:v>
      </x:c>
      <x:c r="D4" s="24" t="n">
        <x:v>805</x:v>
      </x:c>
      <x:c r="E4" s="24" t="n">
        <x:f>C4+D4</x:f>
        <x:v>1762</x:v>
      </x:c>
      <x:c r="F4" s="24" t="n">
        <x:v>3756</x:v>
      </x:c>
    </x:row>
    <x:row r="5">
      <x:c r="A5" t="str">
        <x:v>Kato Paphos / Universal / coastal Paphos</x:v>
      </x:c>
      <x:c r="B5" s="24" t="n">
        <x:v>36</x:v>
      </x:c>
      <x:c r="C5" s="24" t="n">
        <x:v>3584</x:v>
      </x:c>
      <x:c r="D5" s="24" t="n">
        <x:v>921</x:v>
      </x:c>
      <x:c r="E5" s="24" t="n">
        <x:f>C5+D5</x:f>
        <x:v>4505</x:v>
      </x:c>
      <x:c r="F5" s="24" t="n">
        <x:v>9232</x:v>
      </x:c>
    </x:row>
    <x:row r="6">
      <x:c r="A6" s="37" t="str">
        <x:v>Paphos city total</x:v>
      </x:c>
      <x:c r="B6" s="40" t="n">
        <x:v>58</x:v>
      </x:c>
      <x:c r="C6" s="40" t="n">
        <x:v>4621</x:v>
      </x:c>
      <x:c r="D6" s="40" t="n">
        <x:v>1729</x:v>
      </x:c>
      <x:c r="E6" s="40" t="n">
        <x:f>C6+D6</x:f>
        <x:v>6350</x:v>
      </x:c>
      <x:c r="F6" s="40" t="n">
        <x:v>13145</x:v>
      </x:c>
    </x:row>
    <x:row r="8">
      <x:c r="A8" s="28" t="str">
        <x:v>Note: Ktima and Old Town refer to the same historic Paphos centre; they are not counted twice.</x:v>
      </x:c>
    </x:row>
    <x:row r="9">
      <x:c r="A9" t="str">
        <x:v>Source: Cyprus Deputy Ministry of Tourism / Visit Cyprus register; geographic allocation based on establishment addresses.</x:v>
      </x:c>
    </x:row>
    <x:row r="10">
      <x:c r="A10" t="str">
        <x:v>https://www.visitcyprus.com/wp-content/uploads/2026/02/PANCYPRIAN_HOTELS_16.2.2026.pdf</x:v>
      </x:c>
    </x:row>
  </x:sheetData>
  <x:mergeCells>
    <x:mergeCell ref="A1:F1"/>
    <x:mergeCell ref="A8:F8"/>
    <x:mergeCell ref="A9:F9"/>
    <x:mergeCell ref="A10:F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5" t="str">
        <x:v>Pegeia Area — Accommodation Capacity</x:v>
      </x:c>
      <x:c r="B1" s="5"/>
      <x:c r="C1" s="5"/>
      <x:c r="D1" s="5"/>
      <x:c r="E1" s="5"/>
      <x:c r="F1" s="5"/>
    </x:row>
    <x:row r="2">
      <x:c r="A2" s="14" t="str">
        <x:v>Pegeia sector</x:v>
      </x:c>
      <x:c r="B2" s="14" t="str">
        <x:v>Establishments</x:v>
      </x:c>
      <x:c r="C2" s="14" t="str">
        <x:v>Rooms</x:v>
      </x:c>
      <x:c r="D2" s="14" t="str">
        <x:v>Other units</x:v>
      </x:c>
      <x:c r="E2" s="14" t="str">
        <x:v>Total units</x:v>
      </x:c>
      <x:c r="F2" s="14" t="str">
        <x:v>Beds</x:v>
      </x:c>
    </x:row>
    <x:row r="3">
      <x:c r="A3" t="str">
        <x:v>Coral Bay</x:v>
      </x:c>
      <x:c r="B3" s="24" t="n">
        <x:v>10</x:v>
      </x:c>
      <x:c r="C3" s="24" t="n">
        <x:v>939</x:v>
      </x:c>
      <x:c r="D3" s="24" t="n">
        <x:v>369</x:v>
      </x:c>
      <x:c r="E3" s="24" t="n">
        <x:f>C3+D3</x:f>
        <x:v>1308</x:v>
      </x:c>
      <x:c r="F3" s="24" t="n">
        <x:v>2746</x:v>
      </x:c>
    </x:row>
    <x:row r="4">
      <x:c r="A4" t="str">
        <x:v>Agios Georgios</x:v>
      </x:c>
      <x:c r="B4" s="24" t="n">
        <x:v>2</x:v>
      </x:c>
      <x:c r="C4" s="24" t="n">
        <x:v>227</x:v>
      </x:c>
      <x:c r="D4" s="24" t="n">
        <x:v>0</x:v>
      </x:c>
      <x:c r="E4" s="24" t="n">
        <x:f>C4+D4</x:f>
        <x:v>227</x:v>
      </x:c>
      <x:c r="F4" s="24" t="n">
        <x:v>454</x:v>
      </x:c>
    </x:row>
    <x:row r="5">
      <x:c r="A5" t="str">
        <x:v>Pegeia – elsewhere</x:v>
      </x:c>
      <x:c r="B5" s="24" t="n">
        <x:v>6</x:v>
      </x:c>
      <x:c r="C5" s="24" t="n">
        <x:v>0</x:v>
      </x:c>
      <x:c r="D5" s="24" t="n">
        <x:v>8</x:v>
      </x:c>
      <x:c r="E5" s="24" t="n">
        <x:f>C5+D5</x:f>
        <x:v>8</x:v>
      </x:c>
      <x:c r="F5" s="24" t="n">
        <x:v>42</x:v>
      </x:c>
    </x:row>
    <x:row r="6">
      <x:c r="A6" s="37" t="str">
        <x:v>Pegeia total</x:v>
      </x:c>
      <x:c r="B6" s="40" t="n">
        <x:v>18</x:v>
      </x:c>
      <x:c r="C6" s="40" t="n">
        <x:v>1166</x:v>
      </x:c>
      <x:c r="D6" s="40" t="n">
        <x:v>377</x:v>
      </x:c>
      <x:c r="E6" s="40" t="n">
        <x:f>C6+D6</x:f>
        <x:v>1543</x:v>
      </x:c>
      <x:c r="F6" s="40" t="n">
        <x:v>3242</x:v>
      </x:c>
    </x:row>
    <x:row r="8">
      <x:c r="A8" t="str">
        <x:v>Source: Cyprus Deputy Ministry of Tourism / Visit Cyprus register; geographic allocation based on establishment addresses.</x:v>
      </x:c>
    </x:row>
    <x:row r="9">
      <x:c r="A9" t="str">
        <x:v>https://www.visitcyprus.com/wp-content/uploads/2026/02/PANCYPRIAN_HOTELS_16.2.2026.pdf</x:v>
      </x:c>
    </x:row>
  </x:sheetData>
  <x:mergeCells>
    <x:mergeCell ref="A1:F1"/>
    <x:mergeCell ref="A8:F8"/>
    <x:mergeCell ref="A9:F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4" hidden="0" customWidth="1"/>
    <x:col min="7" max="7" width="52" hidden="0" customWidth="1"/>
    <x:col min="8" max="8" width="55" hidden="0" customWidth="1"/>
    <x:col min="10" max="10" width="10" hidden="0" customWidth="1"/>
    <x:col min="11" max="11" width="10" hidden="0" customWidth="1"/>
  </x:cols>
  <x:sheetData>
    <x:row r="1">
      <x:c r="A1" s="46" t="str">
        <x:v>Paphos Tourist Accommodation Capacity — 2015 to 2026</x:v>
      </x:c>
      <x:c r="B1" s="46"/>
      <x:c r="C1" s="46"/>
      <x:c r="D1" s="46"/>
      <x:c r="E1" s="46"/>
      <x:c r="F1" s="46"/>
      <x:c r="G1" s="46"/>
      <x:c r="H1" s="46"/>
    </x:row>
    <x:row r="2">
      <x:c r="A2" s="50" t="str">
        <x:v>Paphos district aggregate history. The existing small-area sheets remain the 16 Feb 2026 snapshot. Historical sub-area totals (Kato Paphos, Chloraka, Pegeia, etc.) are not published consistently enough to create a reliable annual series.</x:v>
      </x:c>
      <x:c r="B2" s="50"/>
      <x:c r="C2" s="50"/>
      <x:c r="D2" s="50"/>
      <x:c r="E2" s="50"/>
      <x:c r="F2" s="50"/>
      <x:c r="G2" s="50"/>
      <x:c r="H2" s="50"/>
    </x:row>
    <x:row r="4">
      <x:c r="A4" s="54" t="str">
        <x:v>Year</x:v>
      </x:c>
      <x:c r="B4" s="54" t="str">
        <x:v>Reference date / period</x:v>
      </x:c>
      <x:c r="C4" s="54" t="str">
        <x:v>Establishments</x:v>
      </x:c>
      <x:c r="D4" s="54" t="str">
        <x:v>Rooms / accommodation units</x:v>
      </x:c>
      <x:c r="E4" s="54" t="str">
        <x:v>Beds</x:v>
      </x:c>
      <x:c r="F4" s="54" t="str">
        <x:v>Data status</x:v>
      </x:c>
      <x:c r="G4" s="54" t="str">
        <x:v>Notes / comparability</x:v>
      </x:c>
      <x:c r="H4" s="54" t="str">
        <x:v>Source URL</x:v>
      </x:c>
      <x:c r="J4" s="24" t="str">
        <x:v>Year</x:v>
      </x:c>
      <x:c r="K4" s="24" t="str">
        <x:v>Beds</x:v>
      </x:c>
    </x:row>
    <x:row r="5">
      <x:c r="A5" s="60" t="n">
        <x:v>2015</x:v>
      </x:c>
      <x:c r="B5" s="61" t="str">
        <x:v>30 Jun 2015</x:v>
      </x:c>
      <x:c r="C5" s="62" t="n">
        <x:v>275</x:v>
      </x:c>
      <x:c r="D5" s="62"/>
      <x:c r="E5" s="62"/>
      <x:c r="F5" s="61" t="str">
        <x:v>Published snapshot; partial</x:v>
      </x:c>
      <x:c r="G5" s="61" t="str">
        <x:v>KPMG/CTO report states Paphos had 275 accommodation units. The Paphos total bed figure is not legible in the accessible table extract, so it is left blank rather than estimated.</x:v>
      </x:c>
      <x:c r="H5" s="61" t="str">
        <x:v>https://www.scribd.com/document/348285047/Cyprus-Tourism-Market-Report-AUGUST-2015</x:v>
      </x:c>
      <x:c r="J5" s="24" t="n">
        <x:v>2015</x:v>
      </x:c>
      <x:c r="K5" s="24"/>
    </x:row>
    <x:row r="6">
      <x:c r="A6" s="60" t="n">
        <x:v>2016</x:v>
      </x:c>
      <x:c r="B6" s="61" t="str">
        <x:v>31 Dec 2016</x:v>
      </x:c>
      <x:c r="C6" s="62" t="n">
        <x:v>265</x:v>
      </x:c>
      <x:c r="D6" s="62"/>
      <x:c r="E6" s="62" t="n">
        <x:v>27642</x:v>
      </x:c>
      <x:c r="F6" s="61" t="str">
        <x:v>Source-backed year-end</x:v>
      </x:c>
      <x:c r="G6" s="61" t="str">
        <x:v>Paphos: 17,076 hotel beds + 7,282 hotel-apartment/tourist-village beds + 3,284 other beds = 27,642. Report states Paphos had 265 accommodation units.</x:v>
      </x:c>
      <x:c r="H6" s="61" t="str">
        <x:v>https://vgda.com.cy/files/download/ehd1x.pdf</x:v>
      </x:c>
      <x:c r="J6" s="24" t="n">
        <x:v>2016</x:v>
      </x:c>
      <x:c r="K6" s="24" t="n">
        <x:v>27642</x:v>
      </x:c>
    </x:row>
    <x:row r="7">
      <x:c r="A7" s="60" t="n">
        <x:v>2017</x:v>
      </x:c>
      <x:c r="B7" s="61" t="str">
        <x:v>31 Dec 2017</x:v>
      </x:c>
      <x:c r="C7" s="62" t="n">
        <x:v>265</x:v>
      </x:c>
      <x:c r="D7" s="62"/>
      <x:c r="E7" s="62" t="n">
        <x:v>28821</x:v>
      </x:c>
      <x:c r="F7" s="61" t="str">
        <x:v>Source-backed year-end</x:v>
      </x:c>
      <x:c r="G7" s="61" t="str">
        <x:v>Paphos total bed capacity 28,821. Source describes the establishment count as approximately 265.</x:v>
      </x:c>
      <x:c r="H7" s="61" t="str">
        <x:v>https://vgda.com.cy/files/download/a2vea.pdf</x:v>
      </x:c>
      <x:c r="J7" s="24" t="n">
        <x:v>2017</x:v>
      </x:c>
      <x:c r="K7" s="24" t="n">
        <x:v>28821</x:v>
      </x:c>
    </x:row>
    <x:row r="8">
      <x:c r="A8" s="60" t="n">
        <x:v>2018</x:v>
      </x:c>
      <x:c r="B8" s="61" t="str">
        <x:v>2018 (registered capacity)</x:v>
      </x:c>
      <x:c r="C8" s="62"/>
      <x:c r="D8" s="62"/>
      <x:c r="E8" s="62" t="n">
        <x:v>29100</x:v>
      </x:c>
      <x:c r="F8" s="61" t="str">
        <x:v>Reported registered capacity</x:v>
      </x:c>
      <x:c r="G8" s="61" t="str">
        <x:v>Paphos Hotel Association reported approximately 29,100 registered tourist beds in the district in Nov 2018. A directly comparable full establishments/rooms table was not used here.</x:v>
      </x:c>
      <x:c r="H8" s="61" t="str">
        <x:v>https://en.philenews.com/local/1500-more-hotels-beds-in-operation-in-paphos-this-winter/</x:v>
      </x:c>
      <x:c r="J8" s="24" t="n">
        <x:v>2018</x:v>
      </x:c>
      <x:c r="K8" s="24" t="n">
        <x:v>29100</x:v>
      </x:c>
    </x:row>
    <x:row r="9">
      <x:c r="A9" s="57" t="n">
        <x:v>2019</x:v>
      </x:c>
      <x:c r="B9" s="58" t="str">
        <x:v>31 Dec 2019</x:v>
      </x:c>
      <x:c r="C9" s="59" t="n">
        <x:v>271</x:v>
      </x:c>
      <x:c r="D9" s="59"/>
      <x:c r="E9" s="59" t="n">
        <x:v>29621</x:v>
      </x:c>
      <x:c r="F9" s="58" t="str">
        <x:v>Official year-end</x:v>
      </x:c>
      <x:c r="G9" s="58" t="str">
        <x:v>Official Deputy Ministry table: total licensed Pafos capacity.</x:v>
      </x:c>
      <x:c r="H9" s="58" t="str">
        <x:v>https://www.gov.cy/media/sites/26/2024/05/UnitsandBedsinOperation31-12-2019.pdf</x:v>
      </x:c>
      <x:c r="J9" s="24" t="n">
        <x:v>2019</x:v>
      </x:c>
      <x:c r="K9" s="24" t="n">
        <x:v>29621</x:v>
      </x:c>
    </x:row>
    <x:row r="10">
      <x:c r="A10" s="66" t="n">
        <x:v>2020</x:v>
      </x:c>
      <x:c r="B10" s="67" t="str">
        <x:v>2020</x:v>
      </x:c>
      <x:c r="C10" s="68"/>
      <x:c r="D10" s="68"/>
      <x:c r="E10" s="68"/>
      <x:c r="F10" s="67" t="str">
        <x:v>No comparable year-end table</x:v>
      </x:c>
      <x:c r="G10" s="67" t="str">
        <x:v>The Deputy Ministry's current statistics page does not list a comparable 31 Dec 2020 capacity table. No interpolation has been inserted.</x:v>
      </x:c>
      <x:c r="H10" s="67" t="str">
        <x:v>https://www.gov.cy/tourism/paratiritirio-toyrismoy/statistika/</x:v>
      </x:c>
      <x:c r="J10" s="24" t="n">
        <x:v>2020</x:v>
      </x:c>
      <x:c r="K10" s="24"/>
    </x:row>
    <x:row r="11">
      <x:c r="A11" s="57" t="n">
        <x:v>2021</x:v>
      </x:c>
      <x:c r="B11" s="58" t="str">
        <x:v>31 Dec 2021</x:v>
      </x:c>
      <x:c r="C11" s="59" t="n">
        <x:v>267</x:v>
      </x:c>
      <x:c r="D11" s="59"/>
      <x:c r="E11" s="59" t="n">
        <x:v>29327</x:v>
      </x:c>
      <x:c r="F11" s="58" t="str">
        <x:v>Official year-end</x:v>
      </x:c>
      <x:c r="G11" s="58" t="str">
        <x:v>Official Deputy Ministry year-end capacity series. Older table format reports units and beds rather than the newer units/rooms/beds structure.</x:v>
      </x:c>
      <x:c r="H11" s="58" t="str">
        <x:v>https://www.gov.cy/tourism/paratiritirio-toyrismoy/statistika/</x:v>
      </x:c>
      <x:c r="J11" s="24" t="n">
        <x:v>2021</x:v>
      </x:c>
      <x:c r="K11" s="24" t="n">
        <x:v>29327</x:v>
      </x:c>
    </x:row>
    <x:row r="12">
      <x:c r="A12" s="57" t="n">
        <x:v>2022</x:v>
      </x:c>
      <x:c r="B12" s="58" t="str">
        <x:v>31 Dec 2022</x:v>
      </x:c>
      <x:c r="C12" s="59" t="n">
        <x:v>266</x:v>
      </x:c>
      <x:c r="D12" s="59" t="n">
        <x:v>13812</x:v>
      </x:c>
      <x:c r="E12" s="59" t="n">
        <x:v>29385</x:v>
      </x:c>
      <x:c r="F12" s="58" t="str">
        <x:v>Official year-end</x:v>
      </x:c>
      <x:c r="G12" s="58" t="str">
        <x:v>Official Deputy Ministry capacity table for Paphos.</x:v>
      </x:c>
      <x:c r="H12" s="58" t="str">
        <x:v>https://www.gov.cy/tourism/paratiritirio-toyrismoy/statistika/</x:v>
      </x:c>
      <x:c r="J12" s="24" t="n">
        <x:v>2022</x:v>
      </x:c>
      <x:c r="K12" s="24" t="n">
        <x:v>29385</x:v>
      </x:c>
    </x:row>
    <x:row r="13">
      <x:c r="A13" s="57" t="n">
        <x:v>2023</x:v>
      </x:c>
      <x:c r="B13" s="58" t="str">
        <x:v>31 Dec 2023</x:v>
      </x:c>
      <x:c r="C13" s="59" t="n">
        <x:v>259</x:v>
      </x:c>
      <x:c r="D13" s="59" t="n">
        <x:v>12927</x:v>
      </x:c>
      <x:c r="E13" s="59" t="n">
        <x:v>27441</x:v>
      </x:c>
      <x:c r="F13" s="58" t="str">
        <x:v>Official year-end</x:v>
      </x:c>
      <x:c r="G13" s="58" t="str">
        <x:v>Official Deputy Ministry table: Paphos total = 259 establishments, 12,927 rooms/units and 27,441 beds.</x:v>
      </x:c>
      <x:c r="H13" s="58" t="str">
        <x:v>https://www.gov.cy/media/sites/26/2024/05/Capacity-Tables-2023-12-31_GR.pdf</x:v>
      </x:c>
      <x:c r="J13" s="24" t="n">
        <x:v>2023</x:v>
      </x:c>
      <x:c r="K13" s="24" t="n">
        <x:v>27441</x:v>
      </x:c>
    </x:row>
    <x:row r="14">
      <x:c r="A14" s="57" t="n">
        <x:v>2024</x:v>
      </x:c>
      <x:c r="B14" s="58" t="str">
        <x:v>31 Dec 2024</x:v>
      </x:c>
      <x:c r="C14" s="59" t="n">
        <x:v>185</x:v>
      </x:c>
      <x:c r="D14" s="59" t="n">
        <x:v>14583</x:v>
      </x:c>
      <x:c r="E14" s="59" t="n">
        <x:v>30524</x:v>
      </x:c>
      <x:c r="F14" s="58" t="str">
        <x:v>Official year-end</x:v>
      </x:c>
      <x:c r="G14" s="58" t="str">
        <x:v>Official Deputy Ministry table: Paphos total = 185 establishments, 14,583 rooms/units and 30,524 beds.</x:v>
      </x:c>
      <x:c r="H14" s="58" t="str">
        <x:v>https://www.gov.cy/media/sites/26/2025/10/Capacity-Tables-2024-12-31_GR-2.pdf</x:v>
      </x:c>
      <x:c r="J14" s="24" t="n">
        <x:v>2024</x:v>
      </x:c>
      <x:c r="K14" s="24" t="n">
        <x:v>30524</x:v>
      </x:c>
    </x:row>
    <x:row r="15">
      <x:c r="A15" s="60" t="n">
        <x:v>2025</x:v>
      </x:c>
      <x:c r="B15" s="61" t="str">
        <x:v>31 Dec 2025</x:v>
      </x:c>
      <x:c r="C15" s="62"/>
      <x:c r="D15" s="62"/>
      <x:c r="E15" s="62"/>
      <x:c r="F15" s="61" t="str">
        <x:v>Official report exists; row not extracted</x:v>
      </x:c>
      <x:c r="G15" s="61" t="str">
        <x:v>The Deputy Ministry lists an official 31 Dec 2025 capacity report, but the Paphos aggregate row could not be independently extracted from the accessible copy. Left blank rather than guessing.</x:v>
      </x:c>
      <x:c r="H15" s="61" t="str">
        <x:v>https://www.gov.cy/tourism/paratiritirio-toyrismoy/statistika/</x:v>
      </x:c>
      <x:c r="J15" s="24" t="n">
        <x:v>2025</x:v>
      </x:c>
      <x:c r="K15" s="24"/>
    </x:row>
    <x:row r="16">
      <x:c r="A16" s="69" t="n">
        <x:v>2026</x:v>
      </x:c>
      <x:c r="B16" s="70" t="str">
        <x:v>16 Feb 2026</x:v>
      </x:c>
      <x:c r="C16" s="71" t="n">
        <x:v>182</x:v>
      </x:c>
      <x:c r="D16" s="71" t="n">
        <x:v>14483</x:v>
      </x:c>
      <x:c r="E16" s="71" t="n">
        <x:v>29900</x:v>
      </x:c>
      <x:c r="F16" s="70" t="str">
        <x:v>Official register snapshot</x:v>
      </x:c>
      <x:c r="G16" s="70" t="str">
        <x:v>Bottom-up total already used in this workbook from the 16 Feb 2026 licensed-establishment register. This is a snapshot, not a 31 Dec year-end figure.</x:v>
      </x:c>
      <x:c r="H16" s="70" t="str">
        <x:v>https://www.visitcyprus.com/wp-content/uploads/2026/02/PANCYPRIAN_HOTELS_16.2.2026.pdf</x:v>
      </x:c>
      <x:c r="J16" s="24" t="n">
        <x:v>2026</x:v>
      </x:c>
      <x:c r="K16" s="24" t="n">
        <x:v>29900</x:v>
      </x:c>
    </x:row>
    <x:row r="18">
      <x:c r="A18" s="74" t="str">
        <x:v>DATA QUALITY NOTE: This is not a perfectly homogeneous time series. Accommodation categories, licensing rules and reporting formats changed over time. The sharp change between 2023 and 2024 should therefore not be interpreted solely as hotel openings/closures.</x:v>
      </x:c>
      <x:c r="B18" s="74"/>
      <x:c r="C18" s="74"/>
      <x:c r="D18" s="74"/>
      <x:c r="E18" s="74"/>
      <x:c r="F18" s="74"/>
      <x:c r="G18" s="74"/>
      <x:c r="H18" s="74"/>
    </x:row>
    <x:row r="20">
      <x:c r="A20" s="28" t="str">
        <x:v>Official statistics index: the Cyprus Deputy Ministry of Tourism currently lists year-end capacity reports for 2019 and 2021–2025. No comparable 2020 year-end capacity table is listed.</x:v>
      </x:c>
      <x:c r="B20" s="28"/>
      <x:c r="C20" s="28"/>
      <x:c r="D20" s="28"/>
      <x:c r="E20" s="28"/>
      <x:c r="F20" s="28"/>
      <x:c r="G20" s="28"/>
      <x:c r="H20" s="28"/>
    </x:row>
    <x:row r="21">
      <x:c r="A21" s="28" t="str">
        <x:v>2026 note: the government has a newer 4 Aug 2026 establishment register, but the workbook's existing small-area classification is based on the 16 Feb 2026 register; the historical sheet therefore uses the same February snapshot for internal consistency.</x:v>
      </x:c>
      <x:c r="B21" s="28"/>
      <x:c r="C21" s="28"/>
      <x:c r="D21" s="28"/>
      <x:c r="E21" s="28"/>
      <x:c r="F21" s="28"/>
      <x:c r="G21" s="28"/>
      <x:c r="H21" s="28"/>
    </x:row>
  </x:sheetData>
  <x:mergeCells>
    <x:mergeCell ref="A1:H1"/>
    <x:mergeCell ref="A2:H2"/>
    <x:mergeCell ref="A18:H18"/>
    <x:mergeCell ref="A20:H20"/>
    <x:mergeCell ref="A21:H21"/>
  </x:mergeCells>
  <x:pageMargins left="0.7" right="0.7" top="0.75" bottom="0.75" header="0.3" footer="0.3"/>
  <x:drawing xmlns:r="http://schemas.openxmlformats.org/officeDocument/2006/relationships" r:id="R43b910695a9245a2"/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25" hidden="0" customWidth="1"/>
    <x:col min="4" max="4" width="34" hidden="0" customWidth="1"/>
    <x:col min="5" max="5" width="28" hidden="0" customWidth="1"/>
    <x:col min="6" max="6" width="18" hidden="0" customWidth="1"/>
    <x:col min="8" max="8" width="36" hidden="0" customWidth="1"/>
    <x:col min="9" max="9" width="14" hidden="0" customWidth="1"/>
    <x:col min="10" max="10" width="18" hidden="0" customWidth="1"/>
  </x:cols>
  <x:sheetData>
    <x:row r="1">
      <x:c r="A1" s="84" t="str">
        <x:v>Paphos Tourist Accommodation Bed Capacity by Area — 2015 to 2026</x:v>
      </x:c>
      <x:c r="B1" s="84"/>
      <x:c r="C1" s="84"/>
      <x:c r="D1" s="84"/>
      <x:c r="E1" s="84"/>
      <x:c r="F1" s="84"/>
      <x:c r="H1" s="94" t="str">
        <x:v>2026 area anchors / shares</x:v>
      </x:c>
      <x:c r="I1" s="94"/>
      <x:c r="J1" s="94"/>
    </x:row>
    <x:row r="2">
      <x:c r="A2" s="85" t="str">
        <x:v>Measure: licensed tourist-accommodation beds. 2026 is the direct area total from the Deputy Ministry / Visit Cyprus register. For 2015–2025, official annual totals are not published for these custom neighbourhood zones, so the figures are estimates: each year's Paphos district bed capacity × the area's 2026 share of district capacity.</x:v>
      </x:c>
      <x:c r="B2" s="85"/>
      <x:c r="C2" s="85"/>
      <x:c r="D2" s="85"/>
      <x:c r="E2" s="85"/>
      <x:c r="F2" s="85"/>
      <x:c r="G2" s="28"/>
      <x:c r="H2" s="96" t="str">
        <x:v>Area</x:v>
      </x:c>
      <x:c r="I2" s="97" t="str">
        <x:v>2026 beds</x:v>
      </x:c>
      <x:c r="J2" s="98" t="str">
        <x:v>Share of Paphos district</x:v>
      </x:c>
    </x:row>
    <x:row r="3">
      <x:c r="A3" s="85"/>
      <x:c r="B3" s="85"/>
      <x:c r="C3" s="85"/>
      <x:c r="D3" s="85"/>
      <x:c r="E3" s="85"/>
      <x:c r="F3" s="85"/>
      <x:c r="G3" s="28"/>
      <x:c r="H3" s="114" t="str">
        <x:v>Ktima / Old Town</x:v>
      </x:c>
      <x:c r="I3" s="115" t="n">
        <x:v>157</x:v>
      </x:c>
      <x:c r="J3" s="116" t="n">
        <x:f>I3/$F$17</x:f>
        <x:v>0.005250836120401337</x:v>
      </x:c>
    </x:row>
    <x:row r="4">
      <x:c r="A4" s="28"/>
      <x:c r="B4" s="28"/>
      <x:c r="C4" s="28"/>
      <x:c r="D4" s="28"/>
      <x:c r="E4" s="28"/>
      <x:c r="F4" s="28"/>
      <x:c r="G4" s="28"/>
      <x:c r="H4" s="114" t="str">
        <x:v>Tombs of the Kings / West Paphos</x:v>
      </x:c>
      <x:c r="I4" s="115" t="n">
        <x:v>3756</x:v>
      </x:c>
      <x:c r="J4" s="116" t="n">
        <x:f>I4/$F$17</x:f>
        <x:v>0.12561872909698996</x:v>
      </x:c>
    </x:row>
    <x:row r="5">
      <x:c r="A5" s="96" t="str">
        <x:v>Year</x:v>
      </x:c>
      <x:c r="B5" s="97" t="str">
        <x:v>Ktima / Old Town beds</x:v>
      </x:c>
      <x:c r="C5" s="97" t="str">
        <x:v>Tombs of the Kings / West Paphos beds</x:v>
      </x:c>
      <x:c r="D5" s="97" t="str">
        <x:v>Kato Paphos / harbour / south coast / Universal beds</x:v>
      </x:c>
      <x:c r="E5" s="97" t="str">
        <x:v>Area-data status</x:v>
      </x:c>
      <x:c r="F5" s="98" t="str">
        <x:v>Paphos district beds</x:v>
      </x:c>
      <x:c r="G5" s="28"/>
      <x:c r="H5" s="117" t="str">
        <x:v>Kato Paphos / harbour / south coast / Universal</x:v>
      </x:c>
      <x:c r="I5" s="118" t="n">
        <x:v>9232</x:v>
      </x:c>
      <x:c r="J5" s="119" t="n">
        <x:f>I5/$F$17</x:f>
        <x:v>0.3087625418060201</x:v>
      </x:c>
    </x:row>
    <x:row r="6">
      <x:c r="A6" s="130" t="n">
        <x:v>2015</x:v>
      </x:c>
      <x:c r="B6" s="132" t="n">
        <x:f>ROUND($F6*$J$3,0)</x:f>
        <x:v>146</x:v>
      </x:c>
      <x:c r="C6" s="132" t="n">
        <x:f>ROUND($F6*$J$4,0)</x:f>
        <x:v>3486</x:v>
      </x:c>
      <x:c r="D6" s="132" t="n">
        <x:f>ROUND($F6*$J$5,0)</x:f>
        <x:v>8569</x:v>
      </x:c>
      <x:c r="E6" s="120" t="str">
        <x:v>Estimated area split</x:v>
      </x:c>
      <x:c r="F6" s="134" t="n">
        <x:v>27754</x:v>
      </x:c>
      <x:c r="G6" s="28"/>
      <x:c r="H6" s="28"/>
      <x:c r="I6" s="28"/>
      <x:c r="J6" s="28"/>
    </x:row>
    <x:row r="7">
      <x:c r="A7" s="130" t="n">
        <x:v>2016</x:v>
      </x:c>
      <x:c r="B7" s="132" t="n">
        <x:f>ROUND($F7*$J$3,0)</x:f>
        <x:v>145</x:v>
      </x:c>
      <x:c r="C7" s="132" t="n">
        <x:f>ROUND($F7*$J$4,0)</x:f>
        <x:v>3472</x:v>
      </x:c>
      <x:c r="D7" s="132" t="n">
        <x:f>ROUND($F7*$J$5,0)</x:f>
        <x:v>8535</x:v>
      </x:c>
      <x:c r="E7" s="120" t="str">
        <x:v>Estimated area split</x:v>
      </x:c>
      <x:c r="F7" s="134" t="n">
        <x:v>27642</x:v>
      </x:c>
      <x:c r="G7" s="28"/>
      <x:c r="H7" s="28"/>
      <x:c r="I7" s="28"/>
      <x:c r="J7" s="28"/>
    </x:row>
    <x:row r="8">
      <x:c r="A8" s="130" t="n">
        <x:v>2017</x:v>
      </x:c>
      <x:c r="B8" s="132" t="n">
        <x:f>ROUND($F8*$J$3,0)</x:f>
        <x:v>151</x:v>
      </x:c>
      <x:c r="C8" s="132" t="n">
        <x:f>ROUND($F8*$J$4,0)</x:f>
        <x:v>3620</x:v>
      </x:c>
      <x:c r="D8" s="132" t="n">
        <x:f>ROUND($F8*$J$5,0)</x:f>
        <x:v>8899</x:v>
      </x:c>
      <x:c r="E8" s="120" t="str">
        <x:v>Estimated area split</x:v>
      </x:c>
      <x:c r="F8" s="134" t="n">
        <x:v>28821</x:v>
      </x:c>
      <x:c r="G8" s="28"/>
      <x:c r="H8" s="28"/>
      <x:c r="I8" s="28"/>
      <x:c r="J8" s="28"/>
    </x:row>
    <x:row r="9">
      <x:c r="A9" s="130" t="n">
        <x:v>2018</x:v>
      </x:c>
      <x:c r="B9" s="132" t="n">
        <x:f>ROUND($F9*$J$3,0)</x:f>
        <x:v>153</x:v>
      </x:c>
      <x:c r="C9" s="132" t="n">
        <x:f>ROUND($F9*$J$4,0)</x:f>
        <x:v>3656</x:v>
      </x:c>
      <x:c r="D9" s="132" t="n">
        <x:f>ROUND($F9*$J$5,0)</x:f>
        <x:v>8985</x:v>
      </x:c>
      <x:c r="E9" s="120" t="str">
        <x:v>Estimated area split</x:v>
      </x:c>
      <x:c r="F9" s="134" t="n">
        <x:v>29100</x:v>
      </x:c>
      <x:c r="G9" s="28"/>
      <x:c r="H9" s="28"/>
      <x:c r="I9" s="28"/>
      <x:c r="J9" s="28"/>
    </x:row>
    <x:row r="10">
      <x:c r="A10" s="130" t="n">
        <x:v>2019</x:v>
      </x:c>
      <x:c r="B10" s="132" t="n">
        <x:f>ROUND($F10*$J$3,0)</x:f>
        <x:v>156</x:v>
      </x:c>
      <x:c r="C10" s="132" t="n">
        <x:f>ROUND($F10*$J$4,0)</x:f>
        <x:v>3721</x:v>
      </x:c>
      <x:c r="D10" s="132" t="n">
        <x:f>ROUND($F10*$J$5,0)</x:f>
        <x:v>9146</x:v>
      </x:c>
      <x:c r="E10" s="120" t="str">
        <x:v>Estimated area split</x:v>
      </x:c>
      <x:c r="F10" s="134" t="n">
        <x:v>29621</x:v>
      </x:c>
      <x:c r="G10" s="28"/>
      <x:c r="H10" s="28"/>
      <x:c r="I10" s="28"/>
      <x:c r="J10" s="28"/>
    </x:row>
    <x:row r="11">
      <x:c r="A11" s="130" t="n">
        <x:v>2020</x:v>
      </x:c>
      <x:c r="B11" s="132" t="n">
        <x:f>ROUND($F11*$J$3,0)</x:f>
        <x:v>155</x:v>
      </x:c>
      <x:c r="C11" s="132" t="n">
        <x:f>ROUND($F11*$J$4,0)</x:f>
        <x:v>3702</x:v>
      </x:c>
      <x:c r="D11" s="132" t="n">
        <x:f>ROUND($F11*$J$5,0)</x:f>
        <x:v>9100</x:v>
      </x:c>
      <x:c r="E11" s="120" t="str">
        <x:v>Estimated area split</x:v>
      </x:c>
      <x:c r="F11" s="134" t="n">
        <x:v>29474</x:v>
      </x:c>
      <x:c r="G11" s="28"/>
      <x:c r="H11" s="28"/>
      <x:c r="I11" s="28"/>
      <x:c r="J11" s="28"/>
    </x:row>
    <x:row r="12">
      <x:c r="A12" s="130" t="n">
        <x:v>2021</x:v>
      </x:c>
      <x:c r="B12" s="132" t="n">
        <x:f>ROUND($F12*$J$3,0)</x:f>
        <x:v>154</x:v>
      </x:c>
      <x:c r="C12" s="132" t="n">
        <x:f>ROUND($F12*$J$4,0)</x:f>
        <x:v>3684</x:v>
      </x:c>
      <x:c r="D12" s="132" t="n">
        <x:f>ROUND($F12*$J$5,0)</x:f>
        <x:v>9055</x:v>
      </x:c>
      <x:c r="E12" s="120" t="str">
        <x:v>Estimated area split</x:v>
      </x:c>
      <x:c r="F12" s="134" t="n">
        <x:v>29327</x:v>
      </x:c>
      <x:c r="G12" s="28"/>
      <x:c r="H12" s="28"/>
      <x:c r="I12" s="28"/>
      <x:c r="J12" s="28"/>
    </x:row>
    <x:row r="13">
      <x:c r="A13" s="130" t="n">
        <x:v>2022</x:v>
      </x:c>
      <x:c r="B13" s="132" t="n">
        <x:f>ROUND($F13*$J$3,0)</x:f>
        <x:v>154</x:v>
      </x:c>
      <x:c r="C13" s="132" t="n">
        <x:f>ROUND($F13*$J$4,0)</x:f>
        <x:v>3691</x:v>
      </x:c>
      <x:c r="D13" s="132" t="n">
        <x:f>ROUND($F13*$J$5,0)</x:f>
        <x:v>9073</x:v>
      </x:c>
      <x:c r="E13" s="120" t="str">
        <x:v>Estimated area split</x:v>
      </x:c>
      <x:c r="F13" s="134" t="n">
        <x:v>29385</x:v>
      </x:c>
      <x:c r="G13" s="28"/>
      <x:c r="H13" s="28"/>
      <x:c r="I13" s="28"/>
      <x:c r="J13" s="28"/>
    </x:row>
    <x:row r="14">
      <x:c r="A14" s="130" t="n">
        <x:v>2023</x:v>
      </x:c>
      <x:c r="B14" s="132" t="n">
        <x:f>ROUND($F14*$J$3,0)</x:f>
        <x:v>144</x:v>
      </x:c>
      <x:c r="C14" s="132" t="n">
        <x:f>ROUND($F14*$J$4,0)</x:f>
        <x:v>3447</x:v>
      </x:c>
      <x:c r="D14" s="132" t="n">
        <x:f>ROUND($F14*$J$5,0)</x:f>
        <x:v>8473</x:v>
      </x:c>
      <x:c r="E14" s="120" t="str">
        <x:v>Estimated area split</x:v>
      </x:c>
      <x:c r="F14" s="134" t="n">
        <x:v>27441</x:v>
      </x:c>
      <x:c r="G14" s="28"/>
      <x:c r="H14" s="28"/>
      <x:c r="I14" s="28"/>
      <x:c r="J14" s="28"/>
    </x:row>
    <x:row r="15">
      <x:c r="A15" s="130" t="n">
        <x:v>2024</x:v>
      </x:c>
      <x:c r="B15" s="132" t="n">
        <x:f>ROUND($F15*$J$3,0)</x:f>
        <x:v>160</x:v>
      </x:c>
      <x:c r="C15" s="132" t="n">
        <x:f>ROUND($F15*$J$4,0)</x:f>
        <x:v>3834</x:v>
      </x:c>
      <x:c r="D15" s="132" t="n">
        <x:f>ROUND($F15*$J$5,0)</x:f>
        <x:v>9425</x:v>
      </x:c>
      <x:c r="E15" s="120" t="str">
        <x:v>Estimated area split</x:v>
      </x:c>
      <x:c r="F15" s="134" t="n">
        <x:v>30524</x:v>
      </x:c>
      <x:c r="G15" s="28"/>
      <x:c r="H15" s="28"/>
      <x:c r="I15" s="28"/>
      <x:c r="J15" s="28"/>
    </x:row>
    <x:row r="16">
      <x:c r="A16" s="130" t="n">
        <x:v>2025</x:v>
      </x:c>
      <x:c r="B16" s="132" t="n">
        <x:f>ROUND($F16*$J$3,0)</x:f>
        <x:v>158</x:v>
      </x:c>
      <x:c r="C16" s="132" t="n">
        <x:f>ROUND($F16*$J$4,0)</x:f>
        <x:v>3769</x:v>
      </x:c>
      <x:c r="D16" s="132" t="n">
        <x:f>ROUND($F16*$J$5,0)</x:f>
        <x:v>9263</x:v>
      </x:c>
      <x:c r="E16" s="120" t="str">
        <x:v>Estimated area split</x:v>
      </x:c>
      <x:c r="F16" s="134" t="n">
        <x:v>30000</x:v>
      </x:c>
      <x:c r="G16" s="28"/>
      <x:c r="H16" s="28"/>
      <x:c r="I16" s="28"/>
      <x:c r="J16" s="28"/>
    </x:row>
    <x:row r="17">
      <x:c r="A17" s="131" t="n">
        <x:v>2026</x:v>
      </x:c>
      <x:c r="B17" s="133" t="n">
        <x:v>157</x:v>
      </x:c>
      <x:c r="C17" s="133" t="n">
        <x:v>3756</x:v>
      </x:c>
      <x:c r="D17" s="133" t="n">
        <x:v>9232</x:v>
      </x:c>
      <x:c r="E17" s="122" t="str">
        <x:v>Official area snapshot (16 Feb 2026)</x:v>
      </x:c>
      <x:c r="F17" s="135" t="n">
        <x:v>29900</x:v>
      </x:c>
      <x:c r="G17" s="28"/>
      <x:c r="H17" s="28"/>
      <x:c r="I17" s="28"/>
      <x:c r="J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</x:row>
    <x:row r="20">
      <x:c r="A20" s="124" t="str">
        <x:v>District baseline notes</x:v>
      </x:c>
      <x:c r="B20" s="124"/>
      <x:c r="C20" s="124"/>
      <x:c r="D20" s="124"/>
      <x:c r="E20" s="124"/>
      <x:c r="F20" s="124"/>
      <x:c r="G20" s="28"/>
      <x:c r="H20" s="28"/>
      <x:c r="I20" s="28"/>
      <x:c r="J20" s="28"/>
    </x:row>
    <x:row r="21">
      <x:c r="A21" s="96" t="str">
        <x:v>Years</x:v>
      </x:c>
      <x:c r="B21" s="97" t="str">
        <x:v>Status</x:v>
      </x:c>
      <x:c r="C21" s="97" t="str">
        <x:v>Notes</x:v>
      </x:c>
      <x:c r="D21" s="98" t="str">
        <x:v>Source URL</x:v>
      </x:c>
      <x:c r="E21" s="90"/>
      <x:c r="F21" s="90"/>
      <x:c r="G21" s="28"/>
      <x:c r="H21" s="28"/>
      <x:c r="I21" s="28"/>
      <x:c r="J21" s="28"/>
    </x:row>
    <x:row r="22">
      <x:c r="A22" s="114" t="str">
        <x:v>2016–2017</x:v>
      </x:c>
      <x:c r="B22" s="120" t="str">
        <x:v>Source-backed</x:v>
      </x:c>
      <x:c r="C22" s="120" t="str">
        <x:v>Paphos district licensed bed capacity from tourism market reports / Pancyprian Hotel Association.</x:v>
      </x:c>
      <x:c r="D22" s="125" t="str">
        <x:v>https://vgda.com.cy/files/download/ehd1x.pdf</x:v>
      </x:c>
      <x:c r="E22" s="28"/>
      <x:c r="F22" s="28"/>
      <x:c r="G22" s="28"/>
      <x:c r="H22" s="28"/>
      <x:c r="I22" s="28"/>
      <x:c r="J22" s="28"/>
    </x:row>
    <x:row r="23">
      <x:c r="A23" s="114" t="str">
        <x:v>2018</x:v>
      </x:c>
      <x:c r="B23" s="120" t="str">
        <x:v>Reported registered capacity</x:v>
      </x:c>
      <x:c r="C23" s="120" t="str">
        <x:v>Paphos Hotel Association reported about 29,100 registered tourist beds.</x:v>
      </x:c>
      <x:c r="D23" s="125" t="str">
        <x:v>https://en.philenews.com/local/1500-more-hotels-beds-in-operation-in-paphos-this-winter/</x:v>
      </x:c>
      <x:c r="E23" s="28"/>
      <x:c r="F23" s="28"/>
      <x:c r="G23" s="28"/>
      <x:c r="H23" s="28"/>
      <x:c r="I23" s="28"/>
      <x:c r="J23" s="28"/>
    </x:row>
    <x:row r="24">
      <x:c r="A24" s="114" t="str">
        <x:v>2019, 2021–2024</x:v>
      </x:c>
      <x:c r="B24" s="120" t="str">
        <x:v>Official year-end</x:v>
      </x:c>
      <x:c r="C24" s="120" t="str">
        <x:v>Deputy Ministry of Tourism capacity tables; values already used in the workbook's district history sheet.</x:v>
      </x:c>
      <x:c r="D24" s="125" t="str">
        <x:v>https://www.gov.cy/tourism/paratiritirio-toyrismoy/statistika/</x:v>
      </x:c>
      <x:c r="E24" s="28"/>
      <x:c r="F24" s="28"/>
      <x:c r="G24" s="28"/>
      <x:c r="H24" s="28"/>
      <x:c r="I24" s="28"/>
      <x:c r="J24" s="28"/>
    </x:row>
    <x:row r="25">
      <x:c r="A25" s="114" t="str">
        <x:v>2015, 2020</x:v>
      </x:c>
      <x:c r="B25" s="120" t="str">
        <x:v>Estimated district baseline</x:v>
      </x:c>
      <x:c r="C25" s="120" t="str">
        <x:v>2015 interpolated between nearby published Paphos district capacities; 2020 interpolated between 2019 and 2021 because no comparable year-end table is listed.</x:v>
      </x:c>
      <x:c r="D25" s="125" t="str">
        <x:v>https://www.gov.cy/tourism/paratiritirio-toyrismoy/statistika/</x:v>
      </x:c>
      <x:c r="E25" s="28"/>
      <x:c r="F25" s="28"/>
      <x:c r="G25" s="28"/>
      <x:c r="H25" s="28"/>
      <x:c r="I25" s="28"/>
      <x:c r="J25" s="28"/>
    </x:row>
    <x:row r="26">
      <x:c r="A26" s="117" t="str">
        <x:v>2025</x:v>
      </x:c>
      <x:c r="B26" s="122" t="str">
        <x:v>Approximate district baseline</x:v>
      </x:c>
      <x:c r="C26" s="122" t="str">
        <x:v>Around 30,000 Paphos beds reported in 2025; used as a rounded baseline because the exact Paphos row was not independently extracted.</x:v>
      </x:c>
      <x:c r="D26" s="126" t="str">
        <x:v>https://pcci.org.cy/wp-content/uploads/2025/10/gr-eng-FINAL-23-10-25-compressed_7%CE%9C%CE%92.pdf</x:v>
      </x:c>
      <x:c r="E26" s="28"/>
      <x:c r="F26" s="28"/>
      <x:c r="G26" s="28"/>
      <x:c r="H26" s="28"/>
      <x:c r="I26" s="28"/>
      <x:c r="J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</x:row>
    <x:row r="28">
      <x:c r="A28" s="127" t="str">
        <x:v>2026 direct area source</x:v>
      </x:c>
      <x:c r="B28" s="128"/>
      <x:c r="C28" s="129"/>
      <x:c r="D28" s="124"/>
      <x:c r="E28" s="124"/>
      <x:c r="F28" s="124"/>
      <x:c r="G28" s="28"/>
      <x:c r="H28" s="28"/>
      <x:c r="I28" s="28"/>
      <x:c r="J28" s="28"/>
    </x:row>
    <x:row r="29">
      <x:c r="A29" s="114" t="str">
        <x:v>Deputy Ministry / Visit Cyprus register</x:v>
      </x:c>
      <x:c r="B29" s="120" t="str">
        <x:v>Area totals in the existing workbook are allocated from establishment addresses.</x:v>
      </x:c>
      <x:c r="C29" s="125" t="str">
        <x:v>https://www.visitcyprus.com/wp-content/uploads/2026/02/PAFOS_HOTELS_16.2.2026.pdf</x:v>
      </x:c>
      <x:c r="D29" s="28"/>
      <x:c r="E29" s="28"/>
      <x:c r="F29" s="28"/>
      <x:c r="G29" s="28"/>
      <x:c r="H29" s="28"/>
      <x:c r="I29" s="28"/>
      <x:c r="J29" s="28"/>
    </x:row>
    <x:row r="30">
      <x:c r="A30" s="117" t="str">
        <x:v>Important</x:v>
      </x:c>
      <x:c r="B30" s="122" t="str">
        <x:v>2015–2025 neighbourhood figures are analytical estimates, not official published neighbourhood statistics. Do not cite them as direct government counts.</x:v>
      </x:c>
      <x:c r="C30" s="126"/>
      <x:c r="D30" s="28"/>
      <x:c r="E30" s="28"/>
      <x:c r="F30" s="28"/>
      <x:c r="G30" s="28"/>
      <x:c r="H30" s="28"/>
      <x:c r="I30" s="28"/>
      <x:c r="J30" s="28"/>
    </x:row>
  </x:sheetData>
  <x:mergeCells>
    <x:mergeCell ref="A1:F1"/>
    <x:mergeCell ref="A2:F3"/>
    <x:mergeCell ref="H1:J1"/>
    <x:mergeCell ref="A20:F20"/>
  </x:mergeCells>
  <x:pageMargins left="0.7" right="0.7" top="0.75" bottom="0.75" header="0.3" footer="0.3"/>
</x:worksheet>
</file>