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c0bb69c2384df1" /></Relationships>
</file>

<file path=xl/workbook.xml><?xml version="1.0" encoding="utf-8"?>
<x:workbook xmlns:x="http://schemas.openxmlformats.org/spreadsheetml/2006/main">
  <x:sheets>
    <x:sheet xmlns:r="http://schemas.openxmlformats.org/officeDocument/2006/relationships" name="Resident Beds" sheetId="1" r:id="R4ef773af20cf48d4"/>
    <x:sheet xmlns:r="http://schemas.openxmlformats.org/officeDocument/2006/relationships" name="Annual 2015-2026" sheetId="2" r:id="R4238f14c51f045fa"/>
    <x:sheet xmlns:r="http://schemas.openxmlformats.org/officeDocument/2006/relationships" name="Pafos Areas 2021" sheetId="3" r:id="Rcf0f09474e35444a"/>
    <x:sheet xmlns:r="http://schemas.openxmlformats.org/officeDocument/2006/relationships" name="Pafos Custom Areas 2015-26" sheetId="4" r:id="Ra9a87173d86a4c3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d mmm yyyy"/>
    <x:numFmt numFmtId="202" formatCode="0.0000%"/>
    <x:numFmt numFmtId="203" formatCode="0"/>
    <x:numFmt numFmtId="204" formatCode="0.0%"/>
  </x:numFmts>
  <x:fonts count="15">
    <x:font>
      <x:sz val="11"/>
      <x:name val="Carlito"/>
    </x:font>
    <x:font>
      <x:b/>
      <x:sz val="14"/>
      <x:color rgb="FFFFFFFF"/>
      <x:name val="Carlito"/>
    </x:font>
    <x:font>
      <x:b/>
      <x:sz val="11"/>
      <x:color rgb="FF1F1F1F"/>
      <x:name val="Carlito"/>
    </x:font>
    <x:font>
      <x:i/>
      <x:sz val="11"/>
      <x:name val="Carlito"/>
    </x:font>
    <x:font>
      <x:b/>
      <x:sz val="15"/>
      <x:color rgb="FFFFFFFF"/>
      <x:name val="Carlito"/>
    </x:font>
    <x:font>
      <x:i/>
      <x:sz val="11"/>
      <x:color rgb="FF1F1F1F"/>
      <x:name val="Carlito"/>
    </x:font>
    <x:font>
      <x:b/>
      <x:sz val="11"/>
      <x:color rgb="FFFFFFFF"/>
      <x:name val="Carlito"/>
    </x:font>
    <x:font>
      <x:b/>
      <x:sz val="11"/>
      <x:name val="Carlito"/>
    </x:font>
    <x:font>
      <x:sz val="11"/>
      <x:name val="Carlito"/>
    </x:font>
    <x:font>
      <x:i/>
      <x:sz val="9"/>
      <x:name val="Carlito"/>
    </x:font>
    <x:font>
      <x:i/>
      <x:sz val="10"/>
      <x:color rgb="FF374151"/>
      <x:name val="Carlito"/>
    </x:font>
    <x:font>
      <x:b/>
      <x:sz val="12"/>
      <x:color rgb="FFFFFFFF"/>
      <x:name val="Carlito"/>
    </x:font>
    <x:font>
      <x:i/>
      <x:sz val="10"/>
      <x:color rgb="FF4B5563"/>
      <x:name val="Carlito"/>
    </x:font>
    <x:font>
      <x:i/>
      <x:sz val="9"/>
      <x:color rgb="FF374151"/>
      <x:name val="Carlito"/>
    </x:font>
    <x:font>
      <x:sz val="11"/>
      <x:name val="Carlito"/>
    </x:font>
  </x:fonts>
  <x:fills count="1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BDD7EE"/>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EAF2F8"/>
      </x:patternFill>
    </x:fill>
    <x:fill>
      <x:patternFill patternType="solid">
        <x:fgColor rgb="FFFFF4CC"/>
      </x:patternFill>
    </x:fill>
    <x:fill>
      <x:patternFill patternType="solid">
        <x:fgColor rgb="FFD9EAF7"/>
      </x:patternFill>
    </x:fill>
    <x:fill>
      <x:patternFill patternType="solid">
        <x:fgColor rgb="FFF3F4F6"/>
      </x:patternFill>
    </x:fill>
    <x:fill>
      <x:patternFill patternType="solid">
        <x:fgColor rgb="FFFFFFFF"/>
      </x:patternFill>
    </x:fill>
  </x:fills>
  <x:borders count="13">
    <x:border/>
    <x:border/>
    <x:border>
      <x:bottom style="thin">
        <x:color rgb="FF8EA9DB"/>
      </x:bottom>
    </x:border>
    <x:border>
      <x:bottom style="hair">
        <x:color rgb="FFD9D9D9"/>
      </x:bottom>
    </x:border>
    <x:border/>
    <x:border/>
    <x:border/>
    <x:border/>
    <x:border/>
    <x:border/>
    <x:border/>
    <x:border/>
    <x:border/>
  </x:borders>
  <x:cellStyleXfs count="1">
    <x:xf numFmtId="0" fontId="0" fillId="0" borderId="0"/>
  </x:cellStyleXfs>
  <x:cellXfs count="2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left" wrapText="1"/>
    </x:xf>
    <x:xf numFmtId="0" fontId="5" fillId="6" borderId="0" xfId="0" applyNumberFormat="1" applyFont="1" applyFill="1" applyBorder="1" applyAlignment="1">
      <x:alignment horizontal="left" vertical="center" wrapText="1"/>
    </x:xf>
    <x:xf numFmtId="0" fontId="0" fillId="7" borderId="0" xfId="0" applyNumberFormat="1" applyFont="1" applyFill="1" applyBorder="1"/>
    <x:xf numFmtId="0" fontId="2" fillId="7" borderId="0" xfId="0" applyNumberFormat="1" applyFont="1" applyFill="1" applyBorder="1"/>
    <x:xf numFmtId="0" fontId="2" fillId="7" borderId="2" xfId="0" applyNumberFormat="1" applyFont="1" applyFill="1" applyBorder="1"/>
    <x:xf numFmtId="0" fontId="2" fillId="7" borderId="2" xfId="0" applyNumberFormat="1" applyFont="1" applyFill="1" applyBorder="1" applyAlignment="1">
      <x:alignment wrapText="1"/>
    </x:xf>
    <x:xf numFmtId="0" fontId="2" fillId="7" borderId="2" xfId="0" applyNumberFormat="1" applyFont="1" applyFill="1" applyBorder="1" applyAlignment="1">
      <x:alignment horizontal="center" wrapText="1"/>
    </x:xf>
    <x:xf numFmtId="0" fontId="2" fillId="7" borderId="2" xfId="0" applyNumberFormat="1" applyFont="1" applyFill="1" applyBorder="1" applyAlignment="1">
      <x:alignment horizontal="center" vertical="center" wrapText="1"/>
    </x:xf>
    <x:xf numFmtId="201" fontId="0" fillId="0"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left"/>
    </x:xf>
    <x:xf numFmtId="0" fontId="7" fillId="6" borderId="0" xfId="0" applyNumberFormat="1" applyFont="1" applyFill="1" applyBorder="1"/>
    <x:xf numFmtId="0" fontId="7" fillId="6" borderId="0" xfId="0" applyNumberFormat="1" applyFont="1" applyFill="1" applyBorder="1" applyAlignment="1">
      <x:alignment horizontal="center"/>
    </x:xf>
    <x:xf numFmtId="202" fontId="0" fillId="0"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3"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200" fontId="0" fillId="0" borderId="0" xfId="0" applyNumberFormat="1" applyFont="1" applyFill="1" applyBorder="1" applyAlignment="1">
      <x:alignment horizontal="right" vertical="center"/>
    </x:xf>
    <x:xf numFmtId="203" fontId="0" fillId="0" xfId="0" applyNumberFormat="1" applyFont="1" applyFill="1" applyBorder="0" applyAlignment="1">
      <x:alignment horizontal="center" vertical="center"/>
    </x:xf>
    <x:xf numFmtId="201" fontId="0" fillId="0" xfId="0" applyNumberFormat="1" applyFont="1" applyFill="1" applyBorder="0" applyAlignment="1">
      <x:alignment horizontal="center" vertical="center"/>
    </x:xf>
    <x:xf numFmtId="200" fontId="0" fillId="0" xfId="0" applyNumberFormat="1" applyFont="1" applyFill="1" applyBorder="0" applyAlignment="1">
      <x:alignment horizontal="right" vertical="center"/>
    </x:xf>
    <x:xf numFmtId="0" fontId="0" fillId="0" xfId="0" applyNumberFormat="1" applyFont="1" applyFill="1" applyBorder="0" applyAlignment="1">
      <x:alignment wrapText="1"/>
    </x:xf>
    <x:xf numFmtId="203" fontId="0" fillId="0" borderId="3" xfId="0" applyNumberFormat="1" applyFont="1" applyFill="1" applyBorder="1" applyAlignment="1">
      <x:alignment horizontal="center" vertical="center"/>
    </x:xf>
    <x:xf numFmtId="201" fontId="0" fillId="0" borderId="3" xfId="0" applyNumberFormat="1" applyFont="1" applyFill="1" applyBorder="1" applyAlignment="1">
      <x:alignment horizontal="center" vertical="center"/>
    </x:xf>
    <x:xf numFmtId="200" fontId="0" fillId="0" borderId="3" xfId="0" applyNumberFormat="1" applyFont="1" applyFill="1" applyBorder="1" applyAlignment="1">
      <x:alignment horizontal="right" vertical="center"/>
    </x:xf>
    <x:xf numFmtId="0" fontId="0" fillId="0" borderId="3" xfId="0" applyNumberFormat="1" applyFont="1" applyFill="1" applyBorder="1" applyAlignment="1">
      <x:alignment wrapText="1"/>
    </x:xf>
    <x:xf numFmtId="203" fontId="0" fillId="8" xfId="0" applyNumberFormat="1" applyFont="1" applyFill="1" applyBorder="0" applyAlignment="1">
      <x:alignment horizontal="center" vertical="center"/>
    </x:xf>
    <x:xf numFmtId="201" fontId="0" fillId="8" xfId="0" applyNumberFormat="1" applyFont="1" applyFill="1" applyBorder="0" applyAlignment="1">
      <x:alignment horizontal="center" vertical="center"/>
    </x:xf>
    <x:xf numFmtId="200" fontId="0" fillId="8" xfId="0" applyNumberFormat="1" applyFont="1" applyFill="1" applyBorder="0" applyAlignment="1">
      <x:alignment horizontal="right" vertical="center"/>
    </x:xf>
    <x:xf numFmtId="0" fontId="0" fillId="8" xfId="0" applyNumberFormat="1" applyFont="1" applyFill="1" applyBorder="0" applyAlignment="1">
      <x:alignment wrapText="1"/>
    </x:xf>
    <x:xf numFmtId="203" fontId="7" fillId="8" xfId="0" applyNumberFormat="1" applyFont="1" applyFill="1" applyBorder="0" applyAlignment="1">
      <x:alignment horizontal="center" vertical="center"/>
    </x:xf>
    <x:xf numFmtId="201" fontId="7" fillId="8" xfId="0" applyNumberFormat="1" applyFont="1" applyFill="1" applyBorder="0" applyAlignment="1">
      <x:alignment horizontal="center" vertical="center"/>
    </x:xf>
    <x:xf numFmtId="200" fontId="7" fillId="8" xfId="0" applyNumberFormat="1" applyFont="1" applyFill="1" applyBorder="0" applyAlignment="1">
      <x:alignment horizontal="right" vertical="center"/>
    </x:xf>
    <x:xf numFmtId="0" fontId="7" fillId="8" xfId="0" applyNumberFormat="1" applyFont="1" applyFill="1" applyBorder="0"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7" fillId="6" xfId="0" applyNumberFormat="1" applyFont="1" applyFill="1" applyBorder="0" applyAlignment="1">
      <x:alignment horizontal="center"/>
    </x:xf>
    <x:xf numFmtId="0" fontId="7" fillId="6" xfId="0" applyNumberFormat="1" applyFont="1" applyFill="1" applyBorder="0" applyAlignment="1">
      <x:alignment horizontal="center" wrapText="1"/>
    </x:xf>
    <x:xf numFmtId="0" fontId="0" fillId="0" xfId="0" applyNumberFormat="1" applyFont="1" applyFill="1" applyBorder="0"/>
    <x:xf numFmtId="0" fontId="0" fillId="0" borderId="3" xfId="0" applyNumberFormat="1" applyFont="1" applyFill="1" applyBorder="1"/>
    <x:xf numFmtId="202" fontId="0" fillId="0" borderId="3" xfId="0" applyNumberFormat="1" applyFont="1" applyFill="1" applyBorder="1"/>
    <x:xf numFmtId="0" fontId="8" fillId="8" xfId="0" applyNumberFormat="1" applyFont="1" applyFill="1" applyBorder="0"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left" wrapText="1"/>
    </x:xf>
    <x:xf numFmtId="0" fontId="5" fillId="3" borderId="0" xfId="0" applyNumberFormat="1" applyFont="1" applyFill="1" applyBorder="1" applyAlignment="1">
      <x:alignment horizontal="left" vertical="center" wrapText="1"/>
    </x:xf>
    <x:xf numFmtId="0" fontId="6" fillId="2" borderId="0" xfId="0" applyNumberFormat="1" applyFont="1" applyFill="1" applyBorder="1"/>
    <x:xf numFmtId="0" fontId="6" fillId="2" borderId="0" xfId="0" applyNumberFormat="1" applyFont="1" applyFill="1" applyBorder="1" applyAlignment="1">
      <x:alignment horizontal="left"/>
    </x:xf>
    <x:xf numFmtId="0" fontId="7" fillId="3" borderId="0" xfId="0" applyNumberFormat="1" applyFont="1" applyFill="1" applyBorder="1"/>
    <x:xf numFmtId="0" fontId="7" fillId="3" borderId="0" xfId="0" applyNumberFormat="1" applyFont="1" applyFill="1" applyBorder="1" applyAlignment="1">
      <x:alignment horizontal="center"/>
    </x:xf>
    <x:xf numFmtId="0" fontId="3" fillId="4" borderId="0" xfId="0" applyNumberFormat="1" applyFont="1" applyFill="1" applyBorder="1" applyAlignment="1">
      <x:alignment vertical="center" wrapText="1"/>
    </x:xf>
    <x:xf numFmtId="0" fontId="7" fillId="3" borderId="0" xfId="0" applyNumberFormat="1" applyFont="1" applyFill="1" applyBorder="1" applyAlignment="1">
      <x:alignment horizontal="center" wrapText="1"/>
    </x:xf>
    <x:xf numFmtId="0" fontId="7" fillId="3" xfId="0" applyNumberFormat="1" applyFont="1" applyFill="1" applyBorder="0" applyAlignment="1">
      <x:alignment horizontal="center"/>
    </x:xf>
    <x:xf numFmtId="0" fontId="7" fillId="3" xfId="0" applyNumberFormat="1" applyFont="1" applyFill="1" applyBorder="0" applyAlignment="1">
      <x:alignment horizontal="center"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x:xf>
    <x:xf numFmtId="0" fontId="0" fillId="11" borderId="0" xfId="0" applyNumberFormat="1" applyFont="1" applyFill="1" applyBorder="1"/>
    <x:xf numFmtId="0" fontId="7" fillId="11" borderId="0" xfId="0" applyNumberFormat="1" applyFont="1" applyFill="1" applyBorder="1"/>
    <x:xf numFmtId="200" fontId="7" fillId="11" borderId="0" xfId="0" applyNumberFormat="1" applyFont="1" applyFill="1" applyBorder="1"/>
    <x:xf numFmtId="204" fontId="0" fillId="0" borderId="0" xfId="0" applyNumberFormat="1" applyFont="1" applyFill="1" applyBorder="1"/>
    <x:xf numFmtId="204" fontId="7" fillId="11"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6" fillId="2" borderId="0" xfId="0" applyNumberFormat="1" applyFont="1" applyFill="1" applyBorder="1" applyAlignment="1">
      <x:alignment horizontal="center"/>
    </x:xf>
    <x:xf numFmtId="200" fontId="7" fillId="3" borderId="0" xfId="0" applyNumberFormat="1" applyFont="1" applyFill="1" applyBorder="1"/>
    <x:xf numFmtId="204" fontId="7" fillId="3" borderId="0" xfId="0" applyNumberFormat="1" applyFont="1" applyFill="1" applyBorder="1"/>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left"/>
    </x:xf>
    <x:xf numFmtId="0" fontId="1" fillId="12" borderId="0" xfId="0" applyNumberFormat="1" applyFont="1" applyFill="1" applyBorder="1" applyAlignment="1">
      <x:alignment horizontal="left" vertical="center"/>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10" fillId="13" borderId="0" xfId="0" applyNumberFormat="1" applyFont="1" applyFill="1" applyBorder="1" applyAlignment="1">
      <x:alignment vertical="center" wrapText="1"/>
    </x:xf>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horizontal="center" wrapText="1"/>
    </x:xf>
    <x:xf numFmtId="0" fontId="6" fillId="12" borderId="0" xfId="0" applyNumberFormat="1" applyFont="1" applyFill="1" applyBorder="1" applyAlignment="1">
      <x:alignment horizontal="center" vertical="center" wrapText="1"/>
    </x:xf>
    <x:xf numFmtId="0" fontId="11" fillId="12" borderId="0" xfId="0" applyNumberFormat="1" applyFont="1" applyFill="1" applyBorder="1"/>
    <x:xf numFmtId="0" fontId="11" fillId="12" borderId="0" xfId="0" applyNumberFormat="1" applyFont="1" applyFill="1" applyBorder="1" applyAlignment="1">
      <x:alignment horizontal="left"/>
    </x:xf>
    <x:xf numFmtId="0" fontId="11" fillId="12" borderId="0" xfId="0" applyNumberFormat="1" applyFont="1" applyFill="1" applyBorder="1" applyAlignment="1">
      <x:alignment horizontal="left" vertical="center"/>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center"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15" borderId="0" xfId="0" applyNumberFormat="1" applyFont="1" applyFill="1" applyBorder="1"/>
    <x:xf numFmtId="0" fontId="7" fillId="15" borderId="0" xfId="0" applyNumberFormat="1" applyFont="1" applyFill="1" applyBorder="1"/>
    <x:xf numFmtId="0" fontId="0" fillId="15" borderId="0" xfId="0" applyNumberFormat="1" applyFont="1" applyFill="1" applyBorder="1" applyAlignment="1">
      <x:alignment wrapText="1"/>
    </x:xf>
    <x:xf numFmtId="0" fontId="7" fillId="15" borderId="0" xfId="0" applyNumberFormat="1" applyFont="1" applyFill="1" applyBorder="1" applyAlignment="1">
      <x:alignment wrapText="1"/>
    </x:xf>
    <x:xf numFmtId="0" fontId="0" fillId="16" borderId="0" xfId="0" applyNumberFormat="1" applyFont="1" applyFill="1" applyBorder="1" applyAlignment="1">
      <x:alignment wrapText="1"/>
    </x:xf>
    <x:xf numFmtId="200" fontId="7" fillId="15" borderId="0" xfId="0" applyNumberFormat="1" applyFont="1" applyFill="1" applyBorder="1"/>
    <x:xf numFmtId="200" fontId="0" fillId="16" borderId="0" xfId="0" applyNumberFormat="1" applyFont="1" applyFill="1" applyBorder="1" applyAlignment="1">
      <x:alignment wrapText="1"/>
    </x:xf>
    <x:xf numFmtId="200" fontId="7" fillId="15" borderId="0" xfId="0" applyNumberFormat="1" applyFont="1" applyFill="1" applyBorder="1" applyAlignment="1">
      <x:alignment wrapText="1"/>
    </x:xf>
    <x:xf numFmtId="204" fontId="0" fillId="0" borderId="0" xfId="0" applyNumberFormat="1" applyFont="1" applyFill="1" applyBorder="1" applyAlignment="1">
      <x:alignment wrapText="1"/>
    </x:xf>
    <x:xf numFmtId="204" fontId="0" fillId="16" borderId="0" xfId="0" applyNumberFormat="1" applyFont="1" applyFill="1" applyBorder="1" applyAlignment="1">
      <x:alignment wrapText="1"/>
    </x:xf>
    <x:xf numFmtId="204" fontId="7" fillId="15" borderId="0" xfId="0" applyNumberFormat="1" applyFont="1" applyFill="1" applyBorder="1" applyAlignment="1">
      <x:alignment wrapText="1"/>
    </x:xf>
    <x:xf numFmtId="0" fontId="0" fillId="0" borderId="0" xfId="0" applyNumberFormat="1" applyFont="1" applyFill="1" applyBorder="1" applyAlignment="1">
      <x:alignment horizontal="center"/>
    </x:xf>
    <x:xf numFmtId="0" fontId="7" fillId="15" borderId="0" xfId="0" applyNumberFormat="1" applyFont="1" applyFill="1" applyBorder="1" applyAlignment="1">
      <x:alignment horizontal="center"/>
    </x:xf>
    <x:xf numFmtId="200" fontId="0" fillId="0" borderId="0" xfId="0" applyNumberFormat="1" applyFont="1" applyFill="1" applyBorder="1" applyAlignment="1">
      <x:alignment horizontal="right"/>
    </x:xf>
    <x:xf numFmtId="200" fontId="7" fillId="15" borderId="0" xfId="0" applyNumberFormat="1" applyFont="1" applyFill="1" applyBorder="1" applyAlignment="1">
      <x:alignment horizontal="right"/>
    </x:xf>
    <x:xf numFmtId="200" fontId="0" fillId="0" borderId="0" xfId="0" applyNumberFormat="1" applyFont="1" applyFill="1" applyBorder="1" applyAlignment="1">
      <x:alignment horizontal="right" wrapText="1"/>
    </x:xf>
    <x:xf numFmtId="204" fontId="0" fillId="0" borderId="0" xfId="0" applyNumberFormat="1" applyFont="1" applyFill="1" applyBorder="1" applyAlignment="1">
      <x:alignment horizontal="right" wrapText="1"/>
    </x:xf>
    <x:xf numFmtId="200" fontId="0" fillId="16" borderId="0" xfId="0" applyNumberFormat="1" applyFont="1" applyFill="1" applyBorder="1" applyAlignment="1">
      <x:alignment horizontal="right" wrapText="1"/>
    </x:xf>
    <x:xf numFmtId="204" fontId="0" fillId="16" borderId="0" xfId="0" applyNumberFormat="1" applyFont="1" applyFill="1" applyBorder="1" applyAlignment="1">
      <x:alignment horizontal="right" wrapText="1"/>
    </x:xf>
    <x:xf numFmtId="200" fontId="7" fillId="15" borderId="0" xfId="0" applyNumberFormat="1" applyFont="1" applyFill="1" applyBorder="1" applyAlignment="1">
      <x:alignment horizontal="right" wrapText="1"/>
    </x:xf>
    <x:xf numFmtId="204" fontId="7" fillId="15" borderId="0" xfId="0" applyNumberFormat="1" applyFont="1" applyFill="1" applyBorder="1" applyAlignment="1">
      <x:alignment horizontal="right" wrapText="1"/>
    </x:xf>
    <x:xf numFmtId="0" fontId="6" fillId="12" borderId="4" xfId="0" applyNumberFormat="1" applyFont="1" applyFill="1" applyBorder="1" applyAlignment="1">
      <x:alignment horizontal="center" vertical="center" wrapText="1"/>
    </x:xf>
    <x:xf numFmtId="0" fontId="6" fillId="12" borderId="5" xfId="0" applyNumberFormat="1" applyFont="1" applyFill="1" applyBorder="1" applyAlignment="1">
      <x:alignment horizontal="center" vertical="center" wrapText="1"/>
    </x:xf>
    <x:xf numFmtId="0" fontId="6" fillId="12" borderId="6" xfId="0" applyNumberFormat="1" applyFont="1" applyFill="1" applyBorder="1" applyAlignment="1">
      <x:alignment horizontal="center" vertical="center" wrapText="1"/>
    </x:xf>
    <x:xf numFmtId="0" fontId="0" fillId="0" borderId="7" xfId="0" applyNumberFormat="1" applyFont="1" applyFill="1" applyBorder="1" applyAlignment="1">
      <x:alignment horizontal="center"/>
    </x:xf>
    <x:xf numFmtId="200" fontId="0" fillId="0" borderId="8" xfId="0" applyNumberFormat="1" applyFont="1" applyFill="1" applyBorder="1" applyAlignment="1">
      <x:alignment horizontal="right"/>
    </x:xf>
    <x:xf numFmtId="0" fontId="0" fillId="0" borderId="9" xfId="0" applyNumberFormat="1" applyFont="1" applyFill="1" applyBorder="1"/>
    <x:xf numFmtId="0" fontId="7" fillId="15" borderId="7" xfId="0" applyNumberFormat="1" applyFont="1" applyFill="1" applyBorder="1" applyAlignment="1">
      <x:alignment horizontal="center"/>
    </x:xf>
    <x:xf numFmtId="200" fontId="7" fillId="15" borderId="8" xfId="0" applyNumberFormat="1" applyFont="1" applyFill="1" applyBorder="1" applyAlignment="1">
      <x:alignment horizontal="right"/>
    </x:xf>
    <x:xf numFmtId="0" fontId="7" fillId="15" borderId="9" xfId="0" applyNumberFormat="1" applyFont="1" applyFill="1" applyBorder="1"/>
    <x:xf numFmtId="0" fontId="0" fillId="0" borderId="10" xfId="0" applyNumberFormat="1" applyFont="1" applyFill="1" applyBorder="1" applyAlignment="1">
      <x:alignment horizontal="center"/>
    </x:xf>
    <x:xf numFmtId="200" fontId="0" fillId="0" borderId="11" xfId="0" applyNumberFormat="1" applyFont="1" applyFill="1" applyBorder="1" applyAlignment="1">
      <x:alignment horizontal="right"/>
    </x:xf>
    <x:xf numFmtId="0" fontId="0" fillId="0" borderId="12" xfId="0" applyNumberFormat="1" applyFont="1" applyFill="1" applyBorder="1"/>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0" fillId="0" borderId="8" xfId="0" applyNumberFormat="1" applyFont="1" applyFill="1" applyBorder="1" applyAlignment="1">
      <x:alignment horizontal="right" wrapText="1"/>
    </x:xf>
    <x:xf numFmtId="204" fontId="0" fillId="0" borderId="8" xfId="0" applyNumberFormat="1" applyFont="1" applyFill="1" applyBorder="1" applyAlignment="1">
      <x:alignment horizontal="right" wrapText="1"/>
    </x:xf>
    <x:xf numFmtId="0" fontId="0" fillId="0" borderId="9" xfId="0" applyNumberFormat="1" applyFont="1" applyFill="1" applyBorder="1" applyAlignment="1">
      <x:alignment wrapText="1"/>
    </x:xf>
    <x:xf numFmtId="0" fontId="0" fillId="16" borderId="7" xfId="0" applyNumberFormat="1" applyFont="1" applyFill="1" applyBorder="1" applyAlignment="1">
      <x:alignment wrapText="1"/>
    </x:xf>
    <x:xf numFmtId="0" fontId="0" fillId="16" borderId="8" xfId="0" applyNumberFormat="1" applyFont="1" applyFill="1" applyBorder="1" applyAlignment="1">
      <x:alignment wrapText="1"/>
    </x:xf>
    <x:xf numFmtId="200" fontId="0" fillId="16" borderId="8" xfId="0" applyNumberFormat="1" applyFont="1" applyFill="1" applyBorder="1" applyAlignment="1">
      <x:alignment horizontal="right" wrapText="1"/>
    </x:xf>
    <x:xf numFmtId="204" fontId="0" fillId="16" borderId="8" xfId="0" applyNumberFormat="1" applyFont="1" applyFill="1" applyBorder="1" applyAlignment="1">
      <x:alignment horizontal="right" wrapText="1"/>
    </x:xf>
    <x:xf numFmtId="0" fontId="0" fillId="16" borderId="9" xfId="0" applyNumberFormat="1" applyFont="1" applyFill="1" applyBorder="1" applyAlignment="1">
      <x:alignment wrapText="1"/>
    </x:xf>
    <x:xf numFmtId="0" fontId="7" fillId="15" borderId="10" xfId="0" applyNumberFormat="1" applyFont="1" applyFill="1" applyBorder="1" applyAlignment="1">
      <x:alignment wrapText="1"/>
    </x:xf>
    <x:xf numFmtId="0" fontId="7" fillId="15" borderId="11" xfId="0" applyNumberFormat="1" applyFont="1" applyFill="1" applyBorder="1" applyAlignment="1">
      <x:alignment wrapText="1"/>
    </x:xf>
    <x:xf numFmtId="200" fontId="7" fillId="15" borderId="11" xfId="0" applyNumberFormat="1" applyFont="1" applyFill="1" applyBorder="1" applyAlignment="1">
      <x:alignment horizontal="right" wrapText="1"/>
    </x:xf>
    <x:xf numFmtId="204" fontId="7" fillId="15" borderId="11" xfId="0" applyNumberFormat="1" applyFont="1" applyFill="1" applyBorder="1" applyAlignment="1">
      <x:alignment horizontal="right" wrapText="1"/>
    </x:xf>
    <x:xf numFmtId="0" fontId="7" fillId="15" borderId="12" xfId="0" applyNumberFormat="1" applyFont="1" applyFill="1" applyBorder="1" applyAlignment="1">
      <x:alignment wrapText="1"/>
    </x:xf>
    <x:xf numFmtId="200" fontId="0" fillId="0" borderId="8" xfId="0" applyNumberFormat="1" applyFont="1" applyFill="1" applyBorder="1" applyAlignment="1">
      <x:alignment wrapText="1"/>
    </x:xf>
    <x:xf numFmtId="0" fontId="0" fillId="0" borderId="10" xfId="0" applyNumberFormat="1" applyFont="1" applyFill="1" applyBorder="1" applyAlignment="1">
      <x:alignment wrapText="1"/>
    </x:xf>
    <x:xf numFmtId="200" fontId="0" fillId="0" borderId="1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7" fillId="17" borderId="7" xfId="0" applyNumberFormat="1" applyFont="1" applyFill="1" applyBorder="1" applyAlignment="1">
      <x:alignment horizontal="center"/>
    </x:xf>
    <x:xf numFmtId="200" fontId="7" fillId="17" borderId="8" xfId="0" applyNumberFormat="1" applyFont="1" applyFill="1" applyBorder="1" applyAlignment="1">
      <x:alignment horizontal="right"/>
    </x:xf>
    <x:xf numFmtId="0" fontId="7" fillId="17" borderId="9" xfId="0" applyNumberFormat="1" applyFont="1" applyFill="1" applyBorder="1"/>
    <x:xf numFmtId="0" fontId="14" fillId="17" borderId="7" xfId="0" applyNumberFormat="1" applyFont="1" applyFill="1" applyBorder="1" applyAlignment="1">
      <x:alignment horizontal="center"/>
    </x:xf>
    <x:xf numFmtId="200" fontId="14" fillId="17" borderId="8" xfId="0" applyNumberFormat="1" applyFont="1" applyFill="1" applyBorder="1" applyAlignment="1">
      <x:alignment horizontal="right"/>
    </x:xf>
    <x:xf numFmtId="0" fontId="14" fillId="17" borderId="9" xfId="0" applyNumberFormat="1" applyFont="1" applyFill="1" applyBorder="1"/>
    <x:xf numFmtId="0" fontId="0" fillId="15" borderId="7" xfId="0" applyNumberFormat="1" applyFont="1" applyFill="1" applyBorder="1" applyAlignment="1">
      <x:alignment horizontal="center"/>
    </x:xf>
    <x:xf numFmtId="200" fontId="0" fillId="15" borderId="8" xfId="0" applyNumberFormat="1" applyFont="1" applyFill="1" applyBorder="1" applyAlignment="1">
      <x:alignment horizontal="right"/>
    </x:xf>
    <x:xf numFmtId="0" fontId="0" fillId="15" borderId="9" xfId="0" applyNumberFormat="1" applyFont="1" applyFill="1" applyBorder="1"/>
    <x:xf numFmtId="0" fontId="0" fillId="0" borderId="9" xfId="0" applyNumberFormat="1" applyFont="1" applyFill="1" applyBorder="1" applyAlignment="1">
      <x:alignment wrapText="0"/>
    </x:xf>
    <x:xf numFmtId="0" fontId="0" fillId="16" borderId="9" xfId="0" applyNumberFormat="1" applyFont="1" applyFill="1" applyBorder="1" applyAlignment="1">
      <x:alignment wrapText="0"/>
    </x:xf>
    <x:xf numFmtId="0" fontId="7" fillId="15" borderId="12" xfId="0" applyNumberFormat="1" applyFont="1" applyFill="1" applyBorder="1" applyAlignment="1">
      <x:alignment wrapText="0"/>
    </x:xf>
    <x:xf numFmtId="0" fontId="0" fillId="0" borderId="12" xfId="0" applyNumberFormat="1" applyFont="1" applyFill="1" applyBorder="1" applyAlignment="1">
      <x:alignment wrapText="0"/>
    </x:xf>
    <x:xf numFmtId="0" fontId="0" fillId="0" borderId="8" xfId="0" applyNumberFormat="1" applyFont="1" applyFill="1" applyBorder="1" applyAlignment="1">
      <x:alignment wrapText="0"/>
    </x:xf>
    <x:xf numFmtId="0" fontId="0" fillId="0" borderId="11"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b042fbb56d4393" /><Relationship Type="http://schemas.openxmlformats.org/officeDocument/2006/relationships/theme" Target="/xl/theme/theme1.xml" Id="R3d58114e991b43eb" /><Relationship Type="http://schemas.openxmlformats.org/officeDocument/2006/relationships/sharedStrings" Target="/xl/sharedStrings.xml" Id="R4bdfc8be3b3e44f8" /><Relationship Type="http://schemas.openxmlformats.org/officeDocument/2006/relationships/worksheet" Target="/xl/worksheets/sheet1.xml" Id="R4ef773af20cf48d4" /><Relationship Type="http://schemas.openxmlformats.org/officeDocument/2006/relationships/worksheet" Target="/xl/worksheets/sheet2.xml" Id="R4238f14c51f045fa" /><Relationship Type="http://schemas.openxmlformats.org/officeDocument/2006/relationships/worksheet" Target="/xl/worksheets/sheet3.xml" Id="Rcf0f09474e35444a" /><Relationship Type="http://schemas.openxmlformats.org/officeDocument/2006/relationships/worksheet" Target="/xl/worksheets/sheet4.xml" Id="Ra9a87173d86a4c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24" hidden="0" customWidth="1"/>
    <x:col min="3" max="3" width="24" hidden="0" customWidth="1"/>
    <x:col min="4" max="4" width="24" hidden="0" customWidth="1"/>
    <x:col min="5" max="5" width="24" hidden="0" customWidth="1"/>
    <x:col min="6" max="6" width="16" hidden="0" customWidth="1"/>
  </x:cols>
  <x:sheetData>
    <x:row r="1">
      <x:c r="A1" s="5" t="str">
        <x:v>Resident Households and Residential Bed-Equivalents — Pafos City and Pegeia</x:v>
      </x:c>
      <x:c r="B1" s="5"/>
      <x:c r="C1" s="5"/>
      <x:c r="D1" s="5"/>
      <x:c r="E1" s="5"/>
      <x:c r="F1" s="5"/>
    </x:row>
    <x:row r="3">
      <x:c r="A3" s="14" t="str">
        <x:v>Area</x:v>
      </x:c>
      <x:c r="B3" s="14" t="str">
        <x:v>Resident households</x:v>
      </x:c>
      <x:c r="C3" s="14" t="str">
        <x:v>Housing units of usual residence</x:v>
      </x:c>
      <x:c r="D3" s="14" t="str">
        <x:v>Usual resident population</x:v>
      </x:c>
      <x:c r="E3" s="14" t="str">
        <x:v>Residential bed-equivalents</x:v>
      </x:c>
      <x:c r="F3" s="14" t="str">
        <x:v>Reference date</x:v>
      </x:c>
    </x:row>
    <x:row r="4">
      <x:c r="A4" s="28" t="str">
        <x:v>Pafos City (Pafos Municipality)</x:v>
      </x:c>
      <x:c r="B4" s="30" t="n">
        <x:v>14667</x:v>
      </x:c>
      <x:c r="C4" s="30" t="n">
        <x:v>14460</x:v>
      </x:c>
      <x:c r="D4" s="30" t="n">
        <x:v>37991</x:v>
      </x:c>
      <x:c r="E4" s="30" t="n">
        <x:f>D4</x:f>
        <x:v>37991</x:v>
      </x:c>
      <x:c r="F4" s="28" t="str">
        <x:v>1 Oct 2021</x:v>
      </x:c>
    </x:row>
    <x:row r="5">
      <x:c r="A5" s="28" t="str">
        <x:v>Pegeia (Pegeia Municipality)</x:v>
      </x:c>
      <x:c r="B5" s="30" t="n">
        <x:v>3109</x:v>
      </x:c>
      <x:c r="C5" s="30" t="n">
        <x:v>3073</x:v>
      </x:c>
      <x:c r="D5" s="30" t="n">
        <x:v>6945</x:v>
      </x:c>
      <x:c r="E5" s="30" t="n">
        <x:f>D5</x:f>
        <x:v>6945</x:v>
      </x:c>
      <x:c r="F5" s="28" t="str">
        <x:v>1 Oct 2021</x:v>
      </x:c>
    </x:row>
    <x:row r="6">
      <x:c r="A6" s="28"/>
      <x:c r="B6" s="28"/>
      <x:c r="C6" s="28"/>
      <x:c r="D6" s="28"/>
      <x:c r="E6" s="28"/>
      <x:c r="F6" s="28"/>
    </x:row>
    <x:row r="7">
      <x:c r="A7" s="24" t="str">
        <x:v>Residential bed-equivalents are calculated as 1 bed per usual resident. CYSTAT does not publish a physical bed count for private households, so this is a modelling proxy rather than an observed inventory of beds.</x:v>
      </x:c>
      <x:c r="B7" s="24"/>
      <x:c r="C7" s="24"/>
      <x:c r="D7" s="24"/>
      <x:c r="E7" s="24"/>
      <x:c r="F7" s="24"/>
    </x:row>
    <x:row r="8">
      <x:c r="A8" s="28"/>
      <x:c r="B8" s="28"/>
      <x:c r="C8" s="28"/>
      <x:c r="D8" s="28"/>
      <x:c r="E8" s="28"/>
      <x:c r="F8" s="28"/>
    </x:row>
    <x:row r="9">
      <x:c r="A9" s="24" t="str">
        <x:v>No tourist accommodation data are included in this workbook. The figures are based only on Census 2021 resident households / usual residents.</x:v>
      </x:c>
      <x:c r="B9" s="24"/>
      <x:c r="C9" s="24"/>
      <x:c r="D9" s="24"/>
      <x:c r="E9" s="24"/>
      <x:c r="F9" s="24"/>
    </x:row>
    <x:row r="10">
      <x:c r="A10" s="28"/>
      <x:c r="B10" s="28"/>
      <x:c r="C10" s="28"/>
      <x:c r="D10" s="28"/>
      <x:c r="E10" s="28"/>
      <x:c r="F10" s="28"/>
    </x:row>
    <x:row r="11">
      <x:c r="A11" s="28" t="str">
        <x:v>Official source: Statistical Service of Cyprus (CYSTAT), Census of Population and Housing 2021, Housing Units, Households and Population by District, Municipality/Community and Postal Code (Matrix 1891168E).</x:v>
      </x:c>
      <x:c r="B11" s="28"/>
      <x:c r="C11" s="28"/>
      <x:c r="D11" s="28"/>
      <x:c r="E11" s="28"/>
      <x:c r="F11" s="28"/>
    </x:row>
    <x:row r="12">
      <x:c r="A12" s="28" t="str">
        <x:v>https://cystatdb.cystat.gov.cy/pxweb/en/8.CYSTAT-DB/8.CYSTAT-DB__Population__Census%20of%20Population%20and%20Housing%202021__Population__Population%20-%20Place%20of%20Residence/1891168E.px/</x:v>
      </x:c>
      <x:c r="B12" s="28"/>
      <x:c r="C12" s="28"/>
      <x:c r="D12" s="28"/>
      <x:c r="E12" s="28"/>
      <x:c r="F12" s="28"/>
    </x:row>
  </x:sheetData>
  <x:mergeCells>
    <x:mergeCell ref="A1:F1"/>
    <x:mergeCell ref="A7:F7"/>
    <x:mergeCell ref="A9:F9"/>
    <x:mergeCell ref="A11:F11"/>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6" hidden="0" customWidth="1"/>
    <x:col min="3" max="3" width="20" hidden="0" customWidth="1"/>
    <x:col min="4" max="4" width="19" hidden="0" customWidth="1"/>
    <x:col min="5" max="5" width="20" hidden="0" customWidth="1"/>
    <x:col min="6" max="6" width="20" hidden="0" customWidth="1"/>
    <x:col min="7" max="7" width="34" hidden="0" customWidth="1"/>
    <x:col min="8" max="8" width="58" hidden="0" customWidth="1"/>
  </x:cols>
  <x:sheetData>
    <x:row r="1" ht="26" customHeight="1">
      <x:c r="A1" s="35" t="str">
        <x:v>Resident Population and Residential Bed-Equivalents — Pafos and Pegeia, 2015–2026</x:v>
      </x:c>
      <x:c r="B1" s="35"/>
      <x:c r="C1" s="35"/>
      <x:c r="D1" s="35"/>
      <x:c r="E1" s="35"/>
      <x:c r="F1" s="35"/>
      <x:c r="G1" s="35"/>
      <x:c r="H1" s="35"/>
    </x:row>
    <x:row r="2" ht="30" customHeight="1">
      <x:c r="A2" s="40" t="str">
        <x:v>Usual residents only; tourist accommodation is excluded. Non-census years are modelled estimates/projections, not official municipal observations.</x:v>
      </x:c>
      <x:c r="B2" s="40"/>
      <x:c r="C2" s="40"/>
      <x:c r="D2" s="40"/>
      <x:c r="E2" s="40"/>
      <x:c r="F2" s="40"/>
      <x:c r="G2" s="40"/>
      <x:c r="H2" s="40"/>
    </x:row>
    <x:row r="3" ht="38" customHeight="1">
      <x:c r="A3" s="46" t="str">
        <x:v>Year</x:v>
      </x:c>
      <x:c r="B3" s="46" t="str">
        <x:v>Reference date</x:v>
      </x:c>
      <x:c r="C3" s="46" t="str">
        <x:v>Pafos Municipality
resident population</x:v>
      </x:c>
      <x:c r="D3" s="46" t="str">
        <x:v>Pegeia area
resident population</x:v>
      </x:c>
      <x:c r="E3" s="46" t="str">
        <x:v>Pafos residential
bed-equivalents</x:v>
      </x:c>
      <x:c r="F3" s="46" t="str">
        <x:v>Pegeia residential
bed-equivalents</x:v>
      </x:c>
      <x:c r="G3" s="46" t="str">
        <x:v>Data status</x:v>
      </x:c>
      <x:c r="H3" s="46" t="str">
        <x:v>Source URL(s)</x:v>
      </x:c>
    </x:row>
    <x:row r="4">
      <x:c r="A4" s="60" t="n">
        <x:v>2015</x:v>
      </x:c>
      <x:c r="B4" s="61" t="n">
        <x:v>42278</x:v>
      </x:c>
      <x:c r="C4" s="62" t="n">
        <x:f>ROUND($B$22*(1+$B$24)^(A4-2011),0)</x:f>
        <x:v>34844</x:v>
      </x:c>
      <x:c r="D4" s="62" t="n">
        <x:f>ROUND($C$22*(1+$C$24)^(A4-2011),0)</x:f>
        <x:v>4953</x:v>
      </x:c>
      <x:c r="E4" s="62" t="n">
        <x:f>C4</x:f>
        <x:v>34844</x:v>
      </x:c>
      <x:c r="F4" s="62" t="n">
        <x:f>D4</x:f>
        <x:v>4953</x:v>
      </x:c>
      <x:c r="G4" s="63" t="str">
        <x:v>Estimated — interpolated from 2011 and 2021 census anchors</x:v>
      </x:c>
      <x:c r="H4" s="63" t="str">
        <x:v>https://www.cystat.gov.cy/en/Announcement?id=54576
https://cystatdb.cystat.gov.cy/pxweb/en/8.CYSTAT-DB/8.CYSTAT-DB__Population__Census%20of%20Population%20and%20Housing%202021__Population__Population%20-%20Place%20of%20Residence/1891108E.px/</x:v>
      </x:c>
    </x:row>
    <x:row r="5">
      <x:c r="A5" s="60" t="n">
        <x:v>2016</x:v>
      </x:c>
      <x:c r="B5" s="61" t="n">
        <x:v>42644</x:v>
      </x:c>
      <x:c r="C5" s="62" t="n">
        <x:f>ROUND($B$22*(1+$B$24)^(A5-2011),0)</x:f>
        <x:v>35350</x:v>
      </x:c>
      <x:c r="D5" s="62" t="n">
        <x:f>ROUND($C$22*(1+$C$24)^(A5-2011),0)</x:f>
        <x:v>5240</x:v>
      </x:c>
      <x:c r="E5" s="62" t="n">
        <x:f>C5</x:f>
        <x:v>35350</x:v>
      </x:c>
      <x:c r="F5" s="62" t="n">
        <x:f>D5</x:f>
        <x:v>5240</x:v>
      </x:c>
      <x:c r="G5" s="63" t="str">
        <x:v>Estimated — interpolated from 2011 and 2021 census anchors</x:v>
      </x:c>
      <x:c r="H5" s="63" t="str">
        <x:v>https://www.cystat.gov.cy/en/Announcement?id=54576
https://cystatdb.cystat.gov.cy/pxweb/en/8.CYSTAT-DB/8.CYSTAT-DB__Population__Census%20of%20Population%20and%20Housing%202021__Population__Population%20-%20Place%20of%20Residence/1891108E.px/</x:v>
      </x:c>
    </x:row>
    <x:row r="6">
      <x:c r="A6" s="60" t="n">
        <x:v>2017</x:v>
      </x:c>
      <x:c r="B6" s="61" t="n">
        <x:v>43009</x:v>
      </x:c>
      <x:c r="C6" s="62" t="n">
        <x:f>ROUND($B$22*(1+$B$24)^(A6-2011),0)</x:f>
        <x:v>35863</x:v>
      </x:c>
      <x:c r="D6" s="62" t="n">
        <x:f>ROUND($C$22*(1+$C$24)^(A6-2011),0)</x:f>
        <x:v>5543</x:v>
      </x:c>
      <x:c r="E6" s="62" t="n">
        <x:f>C6</x:f>
        <x:v>35863</x:v>
      </x:c>
      <x:c r="F6" s="62" t="n">
        <x:f>D6</x:f>
        <x:v>5543</x:v>
      </x:c>
      <x:c r="G6" s="63" t="str">
        <x:v>Estimated — interpolated from 2011 and 2021 census anchors</x:v>
      </x:c>
      <x:c r="H6" s="63" t="str">
        <x:v>https://www.cystat.gov.cy/en/Announcement?id=54576
https://cystatdb.cystat.gov.cy/pxweb/en/8.CYSTAT-DB/8.CYSTAT-DB__Population__Census%20of%20Population%20and%20Housing%202021__Population__Population%20-%20Place%20of%20Residence/1891108E.px/</x:v>
      </x:c>
    </x:row>
    <x:row r="7">
      <x:c r="A7" s="60" t="n">
        <x:v>2018</x:v>
      </x:c>
      <x:c r="B7" s="61" t="n">
        <x:v>43374</x:v>
      </x:c>
      <x:c r="C7" s="62" t="n">
        <x:f>ROUND($B$22*(1+$B$24)^(A7-2011),0)</x:f>
        <x:v>36383</x:v>
      </x:c>
      <x:c r="D7" s="62" t="n">
        <x:f>ROUND($C$22*(1+$C$24)^(A7-2011),0)</x:f>
        <x:v>5865</x:v>
      </x:c>
      <x:c r="E7" s="62" t="n">
        <x:f>C7</x:f>
        <x:v>36383</x:v>
      </x:c>
      <x:c r="F7" s="62" t="n">
        <x:f>D7</x:f>
        <x:v>5865</x:v>
      </x:c>
      <x:c r="G7" s="63" t="str">
        <x:v>Estimated — interpolated from 2011 and 2021 census anchors</x:v>
      </x:c>
      <x:c r="H7" s="63" t="str">
        <x:v>https://www.cystat.gov.cy/en/Announcement?id=54576
https://cystatdb.cystat.gov.cy/pxweb/en/8.CYSTAT-DB/8.CYSTAT-DB__Population__Census%20of%20Population%20and%20Housing%202021__Population__Population%20-%20Place%20of%20Residence/1891108E.px/</x:v>
      </x:c>
    </x:row>
    <x:row r="8">
      <x:c r="A8" s="60" t="n">
        <x:v>2019</x:v>
      </x:c>
      <x:c r="B8" s="61" t="n">
        <x:v>43739</x:v>
      </x:c>
      <x:c r="C8" s="62" t="n">
        <x:f>ROUND($B$22*(1+$B$24)^(A8-2011),0)</x:f>
        <x:v>36912</x:v>
      </x:c>
      <x:c r="D8" s="62" t="n">
        <x:f>ROUND($C$22*(1+$C$24)^(A8-2011),0)</x:f>
        <x:v>6205</x:v>
      </x:c>
      <x:c r="E8" s="62" t="n">
        <x:f>C8</x:f>
        <x:v>36912</x:v>
      </x:c>
      <x:c r="F8" s="62" t="n">
        <x:f>D8</x:f>
        <x:v>6205</x:v>
      </x:c>
      <x:c r="G8" s="63" t="str">
        <x:v>Estimated — interpolated from 2011 and 2021 census anchors</x:v>
      </x:c>
      <x:c r="H8" s="63" t="str">
        <x:v>https://www.cystat.gov.cy/en/Announcement?id=54576
https://cystatdb.cystat.gov.cy/pxweb/en/8.CYSTAT-DB/8.CYSTAT-DB__Population__Census%20of%20Population%20and%20Housing%202021__Population__Population%20-%20Place%20of%20Residence/1891108E.px/</x:v>
      </x:c>
    </x:row>
    <x:row r="9">
      <x:c r="A9" s="60" t="n">
        <x:v>2020</x:v>
      </x:c>
      <x:c r="B9" s="61" t="n">
        <x:v>44105</x:v>
      </x:c>
      <x:c r="C9" s="62" t="n">
        <x:f>ROUND($B$22*(1+$B$24)^(A9-2011),0)</x:f>
        <x:v>37447</x:v>
      </x:c>
      <x:c r="D9" s="62" t="n">
        <x:f>ROUND($C$22*(1+$C$24)^(A9-2011),0)</x:f>
        <x:v>6564</x:v>
      </x:c>
      <x:c r="E9" s="62" t="n">
        <x:f>C9</x:f>
        <x:v>37447</x:v>
      </x:c>
      <x:c r="F9" s="62" t="n">
        <x:f>D9</x:f>
        <x:v>6564</x:v>
      </x:c>
      <x:c r="G9" s="63" t="str">
        <x:v>Estimated — interpolated from 2011 and 2021 census anchors</x:v>
      </x:c>
      <x:c r="H9" s="63" t="str">
        <x:v>https://www.cystat.gov.cy/en/Announcement?id=54576
https://cystatdb.cystat.gov.cy/pxweb/en/8.CYSTAT-DB/8.CYSTAT-DB__Population__Census%20of%20Population%20and%20Housing%202021__Population__Population%20-%20Place%20of%20Residence/1891108E.px/</x:v>
      </x:c>
    </x:row>
    <x:row r="10">
      <x:c r="A10" s="72" t="n">
        <x:v>2021</x:v>
      </x:c>
      <x:c r="B10" s="73" t="n">
        <x:v>44470</x:v>
      </x:c>
      <x:c r="C10" s="74" t="n">
        <x:f>$B$23</x:f>
        <x:v>37991</x:v>
      </x:c>
      <x:c r="D10" s="74" t="n">
        <x:f>$C$23</x:f>
        <x:v>6945</x:v>
      </x:c>
      <x:c r="E10" s="74" t="n">
        <x:f>C10</x:f>
        <x:v>37991</x:v>
      </x:c>
      <x:c r="F10" s="74" t="n">
        <x:f>D10</x:f>
        <x:v>6945</x:v>
      </x:c>
      <x:c r="G10" s="75" t="str">
        <x:v>Official — Census 2021</x:v>
      </x:c>
      <x:c r="H10" s="88" t="str">
        <x:v>https://cystatdb.cystat.gov.cy/pxweb/en/8.CYSTAT-DB/8.CYSTAT-DB__Population__Census%20of%20Population%20and%20Housing%202021__Population__Population%20-%20Place%20of%20Residence/1891108E.px/</x:v>
      </x:c>
    </x:row>
    <x:row r="11">
      <x:c r="A11" s="60" t="n">
        <x:v>2022</x:v>
      </x:c>
      <x:c r="B11" s="61" t="n">
        <x:v>44835</x:v>
      </x:c>
      <x:c r="C11" s="62" t="n">
        <x:f>ROUND($B$22*(1+$B$24)^(A11-2011),0)</x:f>
        <x:v>38542</x:v>
      </x:c>
      <x:c r="D11" s="62" t="n">
        <x:f>ROUND($C$22*(1+$C$24)^(A11-2011),0)</x:f>
        <x:v>7348</x:v>
      </x:c>
      <x:c r="E11" s="62" t="n">
        <x:f>C11</x:f>
        <x:v>38542</x:v>
      </x:c>
      <x:c r="F11" s="62" t="n">
        <x:f>D11</x:f>
        <x:v>7348</x:v>
      </x:c>
      <x:c r="G11" s="63" t="str">
        <x:v>Projected — extrapolated using 2011–2021 municipal CAGR</x:v>
      </x:c>
      <x:c r="H11" s="63" t="str">
        <x:v>https://www.cystat.gov.cy/en/Announcement?id=54576
https://cystatdb.cystat.gov.cy/pxweb/en/8.CYSTAT-DB/8.CYSTAT-DB__Population__Census%20of%20Population%20and%20Housing%202021__Population__Population%20-%20Place%20of%20Residence/1891108E.px/</x:v>
      </x:c>
    </x:row>
    <x:row r="12">
      <x:c r="A12" s="60" t="n">
        <x:v>2023</x:v>
      </x:c>
      <x:c r="B12" s="61" t="n">
        <x:v>45200</x:v>
      </x:c>
      <x:c r="C12" s="62" t="n">
        <x:f>ROUND($B$22*(1+$B$24)^(A12-2011),0)</x:f>
        <x:v>39102</x:v>
      </x:c>
      <x:c r="D12" s="62" t="n">
        <x:f>ROUND($C$22*(1+$C$24)^(A12-2011),0)</x:f>
        <x:v>7774</x:v>
      </x:c>
      <x:c r="E12" s="62" t="n">
        <x:f>C12</x:f>
        <x:v>39102</x:v>
      </x:c>
      <x:c r="F12" s="62" t="n">
        <x:f>D12</x:f>
        <x:v>7774</x:v>
      </x:c>
      <x:c r="G12" s="63" t="str">
        <x:v>Projected — extrapolated using 2011–2021 municipal CAGR</x:v>
      </x:c>
      <x:c r="H12" s="63" t="str">
        <x:v>https://www.cystat.gov.cy/en/Announcement?id=54576
https://cystatdb.cystat.gov.cy/pxweb/en/8.CYSTAT-DB/8.CYSTAT-DB__Population__Census%20of%20Population%20and%20Housing%202021__Population__Population%20-%20Place%20of%20Residence/1891108E.px/</x:v>
      </x:c>
    </x:row>
    <x:row r="13">
      <x:c r="A13" s="60" t="n">
        <x:v>2024</x:v>
      </x:c>
      <x:c r="B13" s="61" t="n">
        <x:v>45566</x:v>
      </x:c>
      <x:c r="C13" s="62" t="n">
        <x:f>ROUND($B$22*(1+$B$24)^(A13-2011),0)</x:f>
        <x:v>39670</x:v>
      </x:c>
      <x:c r="D13" s="62" t="n">
        <x:f>ROUND($C$22*(1+$C$24)^(A13-2011),0)</x:f>
        <x:v>8224</x:v>
      </x:c>
      <x:c r="E13" s="62" t="n">
        <x:f>C13</x:f>
        <x:v>39670</x:v>
      </x:c>
      <x:c r="F13" s="62" t="n">
        <x:f>D13</x:f>
        <x:v>8224</x:v>
      </x:c>
      <x:c r="G13" s="63" t="str">
        <x:v>Projected — extrapolated using 2011–2021 municipal CAGR</x:v>
      </x:c>
      <x:c r="H13" s="63" t="str">
        <x:v>https://www.cystat.gov.cy/en/Announcement?id=54576
https://cystatdb.cystat.gov.cy/pxweb/en/8.CYSTAT-DB/8.CYSTAT-DB__Population__Census%20of%20Population%20and%20Housing%202021__Population__Population%20-%20Place%20of%20Residence/1891108E.px/</x:v>
      </x:c>
    </x:row>
    <x:row r="14">
      <x:c r="A14" s="60" t="n">
        <x:v>2025</x:v>
      </x:c>
      <x:c r="B14" s="61" t="n">
        <x:v>45931</x:v>
      </x:c>
      <x:c r="C14" s="62" t="n">
        <x:f>ROUND($B$22*(1+$B$24)^(A14-2011),0)</x:f>
        <x:v>40245</x:v>
      </x:c>
      <x:c r="D14" s="62" t="n">
        <x:f>ROUND($C$22*(1+$C$24)^(A14-2011),0)</x:f>
        <x:v>8701</x:v>
      </x:c>
      <x:c r="E14" s="62" t="n">
        <x:f>C14</x:f>
        <x:v>40245</x:v>
      </x:c>
      <x:c r="F14" s="62" t="n">
        <x:f>D14</x:f>
        <x:v>8701</x:v>
      </x:c>
      <x:c r="G14" s="63" t="str">
        <x:v>Projected — extrapolated using 2011–2021 municipal CAGR</x:v>
      </x:c>
      <x:c r="H14" s="63" t="str">
        <x:v>https://www.cystat.gov.cy/en/Announcement?id=54576
https://cystatdb.cystat.gov.cy/pxweb/en/8.CYSTAT-DB/8.CYSTAT-DB__Population__Census%20of%20Population%20and%20Housing%202021__Population__Population%20-%20Place%20of%20Residence/1891108E.px/</x:v>
      </x:c>
    </x:row>
    <x:row r="15">
      <x:c r="A15" s="64" t="n">
        <x:v>2026</x:v>
      </x:c>
      <x:c r="B15" s="65" t="n">
        <x:v>46296</x:v>
      </x:c>
      <x:c r="C15" s="66" t="n">
        <x:f>ROUND($B$22*(1+$B$24)^(A15-2011),0)</x:f>
        <x:v>40830</x:v>
      </x:c>
      <x:c r="D15" s="66" t="n">
        <x:f>ROUND($C$22*(1+$C$24)^(A15-2011),0)</x:f>
        <x:v>9205</x:v>
      </x:c>
      <x:c r="E15" s="66" t="n">
        <x:f>C15</x:f>
        <x:v>40830</x:v>
      </x:c>
      <x:c r="F15" s="66" t="n">
        <x:f>D15</x:f>
        <x:v>9205</x:v>
      </x:c>
      <x:c r="G15" s="67" t="str">
        <x:v>Projected — extrapolated using 2011–2021 municipal CAGR</x:v>
      </x:c>
      <x:c r="H15" s="67" t="str">
        <x:v>https://www.cystat.gov.cy/en/Announcement?id=54576
https://cystatdb.cystat.gov.cy/pxweb/en/8.CYSTAT-DB/8.CYSTAT-DB__Population__Census%20of%20Population%20and%20Housing%202021__Population__Population%20-%20Place%20of%20Residence/1891108E.px/</x:v>
      </x:c>
    </x:row>
    <x:row r="17" ht="55" customHeight="1">
      <x:c r="A17" s="79" t="str">
        <x:v>Method note: CYSTAT provides municipality/community counts at census dates, not a complete annual municipal series. For 2015–2020, values are compound-growth interpolations between the official 2011 and 2021 census anchors. For 2022–2026, values are projections using the same 2011–2021 municipal CAGR. The 2021 row is the official census count.</x:v>
      </x:c>
      <x:c r="B17" s="79"/>
      <x:c r="C17" s="79"/>
      <x:c r="D17" s="79"/>
      <x:c r="E17" s="79"/>
      <x:c r="F17" s="79"/>
      <x:c r="G17" s="79"/>
      <x:c r="H17" s="79"/>
    </x:row>
    <x:row r="18" ht="42" customHeight="1">
      <x:c r="A18" s="79" t="str">
        <x:v>Boundary note: from 1 July 2024, Pegeia forms a municipal quarter of Akamas Municipality under Cyprus local-government reform. This time series retains the legacy Pegeia geographic area for comparability across 2015–2026.</x:v>
      </x:c>
      <x:c r="B18" s="79"/>
      <x:c r="C18" s="79"/>
      <x:c r="D18" s="79"/>
      <x:c r="E18" s="79"/>
      <x:c r="F18" s="79"/>
      <x:c r="G18" s="79"/>
      <x:c r="H18" s="79"/>
    </x:row>
    <x:row r="20">
      <x:c r="A20" s="49" t="str">
        <x:v>Calculation inputs</x:v>
      </x:c>
      <x:c r="B20" s="49"/>
      <x:c r="C20" s="49"/>
      <x:c r="D20" s="49"/>
    </x:row>
    <x:row r="21">
      <x:c r="A21" s="83" t="str">
        <x:v>Metric</x:v>
      </x:c>
      <x:c r="B21" s="83" t="str">
        <x:v>Pafos</x:v>
      </x:c>
      <x:c r="C21" s="83" t="str">
        <x:v>Pegeia</x:v>
      </x:c>
      <x:c r="D21" s="84" t="str">
        <x:v>Note</x:v>
      </x:c>
    </x:row>
    <x:row r="22">
      <x:c r="A22" s="85" t="str">
        <x:v>2011 census</x:v>
      </x:c>
      <x:c r="B22" s="85" t="n">
        <x:v>32892</x:v>
      </x:c>
      <x:c r="C22" s="85" t="n">
        <x:v>3953</x:v>
      </x:c>
      <x:c r="D22" s="63" t="str">
        <x:v>Official CYSTAT census anchor</x:v>
      </x:c>
    </x:row>
    <x:row r="23">
      <x:c r="A23" s="85" t="str">
        <x:v>2021 census</x:v>
      </x:c>
      <x:c r="B23" s="85" t="n">
        <x:v>37991</x:v>
      </x:c>
      <x:c r="C23" s="85" t="n">
        <x:v>6945</x:v>
      </x:c>
      <x:c r="D23" s="63" t="str">
        <x:v>Official CYSTAT census anchor</x:v>
      </x:c>
    </x:row>
    <x:row r="24">
      <x:c r="A24" s="86" t="str">
        <x:v>CAGR</x:v>
      </x:c>
      <x:c r="B24" s="87" t="n">
        <x:f>(B23/B22)^(1/10)-1</x:f>
        <x:v>0.014516335572334116</x:v>
      </x:c>
      <x:c r="C24" s="87" t="n">
        <x:f>(C23/C22)^(1/10)-1</x:f>
        <x:v>0.05797290047381476</x:v>
      </x:c>
      <x:c r="D24" s="67" t="str">
        <x:v>Used for interpolation and extrapolation</x:v>
      </x:c>
    </x:row>
    <x:row r="26" ht="36" customHeight="1">
      <x:c r="A26" s="78" t="str">
        <x:v>Residential bed-equivalents use the workbook’s original convention of 1 resident = 1 residential bed-equivalent; this is a modelling proxy, not a physical count of private household beds.</x:v>
      </x:c>
      <x:c r="B26" s="78"/>
      <x:c r="C26" s="78"/>
      <x:c r="D26" s="78"/>
      <x:c r="E26" s="78"/>
      <x:c r="F26" s="78"/>
      <x:c r="G26" s="78"/>
      <x:c r="H26" s="78"/>
    </x:row>
    <x:row r="28">
      <x:c r="A28" s="81" t="str">
        <x:v>Current municipal geography reference: https://www.geonoma.gov.cy/myfiles/archeia/diafora/municipalities_cyprus.pdf</x:v>
      </x:c>
      <x:c r="B28" s="81"/>
      <x:c r="C28" s="81"/>
      <x:c r="D28" s="81"/>
      <x:c r="E28" s="81"/>
      <x:c r="F28" s="81"/>
      <x:c r="G28" s="81"/>
      <x:c r="H28" s="81"/>
    </x:row>
  </x:sheetData>
  <x:mergeCells>
    <x:mergeCell ref="A1:H1"/>
    <x:mergeCell ref="A2:H2"/>
    <x:mergeCell ref="A20:D20"/>
    <x:mergeCell ref="A17:H17"/>
    <x:mergeCell ref="A18:H18"/>
    <x:mergeCell ref="A26:H26"/>
    <x:mergeCell ref="A28:H28"/>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20" hidden="0" customWidth="1"/>
    <x:col min="3" max="3" width="22" hidden="0" customWidth="1"/>
  </x:cols>
  <x:sheetData>
    <x:row r="1">
      <x:c r="A1" s="106" t="str">
        <x:v>Pafos Municipality Areas — 2021 Census</x:v>
      </x:c>
      <x:c r="B1" s="106" t="str">
        <x:v>Resident population</x:v>
      </x:c>
      <x:c r="C1" s="106" t="str">
        <x:v>Share of municipality</x:v>
      </x:c>
    </x:row>
    <x:row r="2">
      <x:c r="A2" t="str">
        <x:v>Agios Theodoros</x:v>
      </x:c>
      <x:c r="B2" s="20" t="n">
        <x:v>20074</x:v>
      </x:c>
      <x:c r="C2" s="110" t="n">
        <x:f>B2/$B$7</x:f>
        <x:v>0.5283883024926956</x:v>
      </x:c>
    </x:row>
    <x:row r="3">
      <x:c r="A3" t="str">
        <x:v>Agios Pavlos</x:v>
      </x:c>
      <x:c r="B3" s="20" t="n">
        <x:v>7846</x:v>
      </x:c>
      <x:c r="C3" s="110" t="n">
        <x:f>B3/$B$7</x:f>
        <x:v>0.2065225974572925</x:v>
      </x:c>
    </x:row>
    <x:row r="4">
      <x:c r="A4" t="str">
        <x:v>Kato Pafos</x:v>
      </x:c>
      <x:c r="B4" s="20" t="n">
        <x:v>4032</x:v>
      </x:c>
      <x:c r="C4" s="110" t="n">
        <x:f>B4/$B$7</x:f>
        <x:v>0.10613039930509857</x:v>
      </x:c>
    </x:row>
    <x:row r="5">
      <x:c r="A5" t="str">
        <x:v>Anavargos</x:v>
      </x:c>
      <x:c r="B5" s="20" t="n">
        <x:v>3062</x:v>
      </x:c>
      <x:c r="C5" s="110" t="n">
        <x:f>B5/$B$7</x:f>
        <x:v>0.08059803637703666</x:v>
      </x:c>
    </x:row>
    <x:row r="6">
      <x:c r="A6" t="str">
        <x:v>Mouttallos</x:v>
      </x:c>
      <x:c r="B6" s="20" t="n">
        <x:v>2977</x:v>
      </x:c>
      <x:c r="C6" s="110" t="n">
        <x:f>B6/$B$7</x:f>
        <x:v>0.0783606643678766</x:v>
      </x:c>
    </x:row>
    <x:row r="7">
      <x:c r="A7" s="108" t="str">
        <x:v>TOTAL — Pafos Municipality</x:v>
      </x:c>
      <x:c r="B7" s="109" t="n">
        <x:f>SUM(B2:B6)</x:f>
        <x:v>37991</x:v>
      </x:c>
      <x:c r="C7" s="111" t="n">
        <x:f>SUM(C2:C6)</x:f>
        <x:v>1</x:v>
      </x:c>
    </x:row>
    <x:row r="9">
      <x:c r="A9" s="113" t="str">
        <x:v>Source: Statistical Service of Cyprus (CYSTAT), Census of Population and Housing 2021, population enumerated by municipality/community and quarter (1 Oct 2021).</x:v>
      </x:c>
      <x:c r="B9" s="113"/>
      <x:c r="C9" s="113"/>
    </x:row>
    <x:row r="10">
      <x:c r="A10" s="113" t="str">
        <x:v>Source URL: https://cystatdb.cystat.gov.cy/pxweb/en/8.CYSTAT-DB/8.CYSTAT-DB__Population__Census%20of%20Population%20and%20Housing%202021__Population__Population%20-%20Place%20of%20Residence/1891114E.px/table/tableViewLayout2/</x:v>
      </x:c>
      <x:c r="B10" s="113"/>
      <x:c r="C10" s="113"/>
    </x:row>
  </x:sheetData>
  <x:mergeCells>
    <x:mergeCell ref="A9:C9"/>
    <x:mergeCell ref="A10:C10"/>
  </x:mergeCells>
  <x:pageMargins left="0.7" right="0.7" top="0.75" bottom="0.75" header="0.3" footer="0.3"/>
</x:worksheet>
</file>

<file path=xl/worksheets/sheet4.xml><?xml version="1.0" encoding="utf-8"?>
<x:worksheet xmlns:x="http://schemas.openxmlformats.org/spreadsheetml/2006/main">
  <x:sheetFormatPr defaultRowHeight="15"/>
  <x:cols>
    <x:col min="1" max="1" width="13" hidden="0" customWidth="1"/>
    <x:col min="2" max="2" width="24" hidden="0" customWidth="1"/>
    <x:col min="3" max="3" width="30" hidden="0" customWidth="1"/>
    <x:col min="4" max="4" width="38" hidden="0" customWidth="1"/>
    <x:col min="5" max="5" width="52" hidden="0" customWidth="1"/>
    <x:col min="6" max="6" width="40" hidden="0" customWidth="1"/>
  </x:cols>
  <x:sheetData>
    <x:row r="1" ht="24" customHeight="1">
      <x:c r="A1" s="120" t="str">
        <x:v>Pafos Custom Areas — Estimated Resident Population, 2015–2026</x:v>
      </x:c>
      <x:c r="B1" s="120"/>
      <x:c r="C1" s="120"/>
      <x:c r="D1" s="120"/>
      <x:c r="E1" s="120"/>
      <x:c r="F1" s="120"/>
    </x:row>
    <x:row r="2" ht="42" customHeight="1">
      <x:c r="A2" s="124" t="str">
        <x:v>Requested neighbourhood/tourism zones are not official CYSTAT geographies. 2021 uses official resident counts by Pafos postal code; other years are modelled by applying the 2021 zone share to the Pafos Municipality annual series in this workbook.</x:v>
      </x:c>
      <x:c r="B2" s="124"/>
      <x:c r="C2" s="124"/>
      <x:c r="D2" s="124"/>
      <x:c r="E2" s="124"/>
      <x:c r="F2" s="124"/>
    </x:row>
    <x:row r="4">
      <x:c r="A4" s="160" t="str">
        <x:v>Year</x:v>
      </x:c>
      <x:c r="B4" s="161" t="str">
        <x:v>Ktima / Old Town</x:v>
      </x:c>
      <x:c r="C4" s="161" t="str">
        <x:v>Tombs of the Kings / West Paphos</x:v>
      </x:c>
      <x:c r="D4" s="161" t="str">
        <x:v>Kato Paphos / harbour / south coast / Universal</x:v>
      </x:c>
      <x:c r="E4" s="162" t="str">
        <x:v>Data status</x:v>
      </x:c>
    </x:row>
    <x:row r="5">
      <x:c r="A5" s="163" t="n">
        <x:v>2015</x:v>
      </x:c>
      <x:c r="B5" s="164" t="n">
        <x:f>ROUND('Annual 2015-2026'!$C$4*$C$22/$C$26,0)</x:f>
        <x:v>4435</x:v>
      </x:c>
      <x:c r="C5" s="164" t="n">
        <x:f>ROUND('Annual 2015-2026'!$C$4*$C$23/$C$26,0)</x:f>
        <x:v>6057</x:v>
      </x:c>
      <x:c r="D5" s="164" t="n">
        <x:f>ROUND('Annual 2015-2026'!$C$4*$C$24/$C$26,0)</x:f>
        <x:v>9554</x:v>
      </x:c>
      <x:c r="E5" s="165" t="str">
        <x:v>Estimated — 2021 postcode share × Pafos municipal estimate</x:v>
      </x:c>
    </x:row>
    <x:row r="6">
      <x:c r="A6" s="163" t="n">
        <x:v>2016</x:v>
      </x:c>
      <x:c r="B6" s="164" t="n">
        <x:f>ROUND('Annual 2015-2026'!$C$5*$C$22/$C$26,0)</x:f>
        <x:v>4500</x:v>
      </x:c>
      <x:c r="C6" s="164" t="n">
        <x:f>ROUND('Annual 2015-2026'!$C$5*$C$23/$C$26,0)</x:f>
        <x:v>6145</x:v>
      </x:c>
      <x:c r="D6" s="164" t="n">
        <x:f>ROUND('Annual 2015-2026'!$C$5*$C$24/$C$26,0)</x:f>
        <x:v>9693</x:v>
      </x:c>
      <x:c r="E6" s="165" t="str">
        <x:v>Estimated — 2021 postcode share × Pafos municipal estimate</x:v>
      </x:c>
    </x:row>
    <x:row r="7">
      <x:c r="A7" s="163" t="n">
        <x:v>2017</x:v>
      </x:c>
      <x:c r="B7" s="164" t="n">
        <x:f>ROUND('Annual 2015-2026'!$C$6*$C$22/$C$26,0)</x:f>
        <x:v>4565</x:v>
      </x:c>
      <x:c r="C7" s="164" t="n">
        <x:f>ROUND('Annual 2015-2026'!$C$6*$C$23/$C$26,0)</x:f>
        <x:v>6234</x:v>
      </x:c>
      <x:c r="D7" s="164" t="n">
        <x:f>ROUND('Annual 2015-2026'!$C$6*$C$24/$C$26,0)</x:f>
        <x:v>9834</x:v>
      </x:c>
      <x:c r="E7" s="165" t="str">
        <x:v>Estimated — 2021 postcode share × Pafos municipal estimate</x:v>
      </x:c>
    </x:row>
    <x:row r="8">
      <x:c r="A8" s="163" t="n">
        <x:v>2018</x:v>
      </x:c>
      <x:c r="B8" s="164" t="n">
        <x:f>ROUND('Annual 2015-2026'!$C$7*$C$22/$C$26,0)</x:f>
        <x:v>4631</x:v>
      </x:c>
      <x:c r="C8" s="164" t="n">
        <x:f>ROUND('Annual 2015-2026'!$C$7*$C$23/$C$26,0)</x:f>
        <x:v>6324</x:v>
      </x:c>
      <x:c r="D8" s="164" t="n">
        <x:f>ROUND('Annual 2015-2026'!$C$7*$C$24/$C$26,0)</x:f>
        <x:v>9976</x:v>
      </x:c>
      <x:c r="E8" s="165" t="str">
        <x:v>Estimated — 2021 postcode share × Pafos municipal estimate</x:v>
      </x:c>
    </x:row>
    <x:row r="9">
      <x:c r="A9" s="163" t="n">
        <x:v>2019</x:v>
      </x:c>
      <x:c r="B9" s="164" t="n">
        <x:f>ROUND('Annual 2015-2026'!$C$8*$C$22/$C$26,0)</x:f>
        <x:v>4699</x:v>
      </x:c>
      <x:c r="C9" s="164" t="n">
        <x:f>ROUND('Annual 2015-2026'!$C$8*$C$23/$C$26,0)</x:f>
        <x:v>6416</x:v>
      </x:c>
      <x:c r="D9" s="164" t="n">
        <x:f>ROUND('Annual 2015-2026'!$C$8*$C$24/$C$26,0)</x:f>
        <x:v>10121</x:v>
      </x:c>
      <x:c r="E9" s="165" t="str">
        <x:v>Estimated — 2021 postcode share × Pafos municipal estimate</x:v>
      </x:c>
    </x:row>
    <x:row r="10">
      <x:c r="A10" s="195" t="n">
        <x:v>2020</x:v>
      </x:c>
      <x:c r="B10" s="196" t="n">
        <x:f>ROUND('Annual 2015-2026'!$C$9*$C$22/$C$26,0)</x:f>
        <x:v>4767</x:v>
      </x:c>
      <x:c r="C10" s="196" t="n">
        <x:f>ROUND('Annual 2015-2026'!$C$9*$C$23/$C$26,0)</x:f>
        <x:v>6509</x:v>
      </x:c>
      <x:c r="D10" s="196" t="n">
        <x:f>ROUND('Annual 2015-2026'!$C$9*$C$24/$C$26,0)</x:f>
        <x:v>10268</x:v>
      </x:c>
      <x:c r="E10" s="197" t="str">
        <x:v>Estimated — 2021 postcode share × Pafos municipal estimate</x:v>
      </x:c>
    </x:row>
    <x:row r="11">
      <x:c r="A11" s="166" t="n">
        <x:v>2021</x:v>
      </x:c>
      <x:c r="B11" s="167" t="n">
        <x:f>ROUND('Annual 2015-2026'!$C$10*$C$22/$C$26,0)</x:f>
        <x:v>4836</x:v>
      </x:c>
      <x:c r="C11" s="167" t="n">
        <x:f>ROUND('Annual 2015-2026'!$C$10*$C$23/$C$26,0)</x:f>
        <x:v>6604</x:v>
      </x:c>
      <x:c r="D11" s="167" t="n">
        <x:f>ROUND('Annual 2015-2026'!$C$10*$C$24/$C$26,0)</x:f>
        <x:v>10417</x:v>
      </x:c>
      <x:c r="E11" s="168" t="str">
        <x:v>Official 2021 postcode counts aggregated to requested custom zone</x:v>
      </x:c>
    </x:row>
    <x:row r="12">
      <x:c r="A12" s="163" t="n">
        <x:v>2022</x:v>
      </x:c>
      <x:c r="B12" s="164" t="n">
        <x:f>ROUND('Annual 2015-2026'!$C$11*$C$22/$C$26,0)</x:f>
        <x:v>4906</x:v>
      </x:c>
      <x:c r="C12" s="164" t="n">
        <x:f>ROUND('Annual 2015-2026'!$C$11*$C$23/$C$26,0)</x:f>
        <x:v>6700</x:v>
      </x:c>
      <x:c r="D12" s="164" t="n">
        <x:f>ROUND('Annual 2015-2026'!$C$11*$C$24/$C$26,0)</x:f>
        <x:v>10568</x:v>
      </x:c>
      <x:c r="E12" s="165" t="str">
        <x:v>Projected — 2021 postcode share × Pafos municipal projection</x:v>
      </x:c>
    </x:row>
    <x:row r="13">
      <x:c r="A13" s="163" t="n">
        <x:v>2023</x:v>
      </x:c>
      <x:c r="B13" s="164" t="n">
        <x:f>ROUND('Annual 2015-2026'!$C$12*$C$22/$C$26,0)</x:f>
        <x:v>4977</x:v>
      </x:c>
      <x:c r="C13" s="164" t="n">
        <x:f>ROUND('Annual 2015-2026'!$C$12*$C$23/$C$26,0)</x:f>
        <x:v>6797</x:v>
      </x:c>
      <x:c r="D13" s="164" t="n">
        <x:f>ROUND('Annual 2015-2026'!$C$12*$C$24/$C$26,0)</x:f>
        <x:v>10722</x:v>
      </x:c>
      <x:c r="E13" s="165" t="str">
        <x:v>Projected — 2021 postcode share × Pafos municipal projection</x:v>
      </x:c>
    </x:row>
    <x:row r="14">
      <x:c r="A14" s="163" t="n">
        <x:v>2024</x:v>
      </x:c>
      <x:c r="B14" s="164" t="n">
        <x:f>ROUND('Annual 2015-2026'!$C$13*$C$22/$C$26,0)</x:f>
        <x:v>5050</x:v>
      </x:c>
      <x:c r="C14" s="164" t="n">
        <x:f>ROUND('Annual 2015-2026'!$C$13*$C$23/$C$26,0)</x:f>
        <x:v>6896</x:v>
      </x:c>
      <x:c r="D14" s="164" t="n">
        <x:f>ROUND('Annual 2015-2026'!$C$13*$C$24/$C$26,0)</x:f>
        <x:v>10877</x:v>
      </x:c>
      <x:c r="E14" s="165" t="str">
        <x:v>Projected — 2021 postcode share × Pafos municipal projection</x:v>
      </x:c>
    </x:row>
    <x:row r="15">
      <x:c r="A15" s="163" t="n">
        <x:v>2025</x:v>
      </x:c>
      <x:c r="B15" s="164" t="n">
        <x:f>ROUND('Annual 2015-2026'!$C$14*$C$22/$C$26,0)</x:f>
        <x:v>5123</x:v>
      </x:c>
      <x:c r="C15" s="164" t="n">
        <x:f>ROUND('Annual 2015-2026'!$C$14*$C$23/$C$26,0)</x:f>
        <x:v>6996</x:v>
      </x:c>
      <x:c r="D15" s="164" t="n">
        <x:f>ROUND('Annual 2015-2026'!$C$14*$C$24/$C$26,0)</x:f>
        <x:v>11035</x:v>
      </x:c>
      <x:c r="E15" s="165" t="str">
        <x:v>Projected — 2021 postcode share × Pafos municipal projection</x:v>
      </x:c>
    </x:row>
    <x:row r="16">
      <x:c r="A16" s="169" t="n">
        <x:v>2026</x:v>
      </x:c>
      <x:c r="B16" s="170" t="n">
        <x:f>ROUND('Annual 2015-2026'!$C$15*$C$22/$C$26,0)</x:f>
        <x:v>5197</x:v>
      </x:c>
      <x:c r="C16" s="170" t="n">
        <x:f>ROUND('Annual 2015-2026'!$C$15*$C$23/$C$26,0)</x:f>
        <x:v>7098</x:v>
      </x:c>
      <x:c r="D16" s="170" t="n">
        <x:f>ROUND('Annual 2015-2026'!$C$15*$C$24/$C$26,0)</x:f>
        <x:v>11195</x:v>
      </x:c>
      <x:c r="E16" s="171" t="str">
        <x:v>Projected — 2021 postcode share × Pafos municipal projection</x:v>
      </x:c>
    </x:row>
    <x:row r="18" ht="52" customHeight="1">
      <x:c r="A18" s="135" t="str">
        <x:v>Method: the 2021 counts below are sums of official CYSTAT Pafos postal-code resident populations. For 2015–2020 and 2022–2026, the model assumes each custom zone keeps its 2021 share of Pafos Municipality. This is an estimate, not an official annual neighbourhood series. Tourist accommodation is excluded.</x:v>
      </x:c>
      <x:c r="B18" s="135"/>
      <x:c r="C18" s="135"/>
      <x:c r="D18" s="135"/>
      <x:c r="E18" s="135"/>
      <x:c r="F18" s="135"/>
    </x:row>
    <x:row r="20">
      <x:c r="A20" s="131" t="str">
        <x:v>2021 custom-zone construction</x:v>
      </x:c>
      <x:c r="B20" s="131"/>
      <x:c r="C20" s="131"/>
      <x:c r="D20" s="131"/>
      <x:c r="E20" s="131"/>
      <x:c r="F20" s="131"/>
    </x:row>
    <x:row r="21">
      <x:c r="A21" s="160" t="str">
        <x:v>Zone</x:v>
      </x:c>
      <x:c r="B21" s="161" t="str">
        <x:v>Included Pafos postcodes</x:v>
      </x:c>
      <x:c r="C21" s="161" t="str">
        <x:v>2021 residents</x:v>
      </x:c>
      <x:c r="D21" s="161" t="str">
        <x:v>Share of Pafos Municipality</x:v>
      </x:c>
      <x:c r="E21" s="161" t="str">
        <x:v>Mapping basis</x:v>
      </x:c>
      <x:c r="F21" s="162" t="str">
        <x:v>Source URL(s)</x:v>
      </x:c>
    </x:row>
    <x:row r="22" ht="54" customHeight="1">
      <x:c r="A22" s="172" t="str">
        <x:v>Ktima / Old Town</x:v>
      </x:c>
      <x:c r="B22" s="173" t="str">
        <x:v>8010, 8011, 8047</x:v>
      </x:c>
      <x:c r="C22" s="174" t="n">
        <x:v>4836</x:v>
      </x:c>
      <x:c r="D22" s="175" t="n">
        <x:f>C22/$C$26</x:f>
        <x:v>0.12729330630938906</x:v>
      </x:c>
      <x:c r="E22" s="173" t="str">
        <x:v>Old Town core and adjacent upper-city postcode areas; 8010/8047 are directly evidenced as Old Town addresses.</x:v>
      </x:c>
      <x:c r="F22" s="201" t="str">
        <x:v>https://cystatdb.cystat.gov.cy/pxweb/en/8.CYSTAT-DB/8.CYSTAT-DB__Population__Census%20of%20Population%20and%20Housing%202021__Population__Population%20-%20Place%20of%20Residence/1891168E.px/table/tableViewLayout2/
https://geodata.gr/digital-maps/postal-codes-boundaries/
https://baristrocoffeepaphos.com/contact/
https://www.cypruspost.post/en/find-postal-codes</x:v>
      </x:c>
    </x:row>
    <x:row r="23" ht="54" customHeight="1">
      <x:c r="A23" s="172" t="str">
        <x:v>Tombs of the Kings / West Paphos</x:v>
      </x:c>
      <x:c r="B23" s="173" t="str">
        <x:v>8015, 8016, 8045, 8046</x:v>
      </x:c>
      <x:c r="C23" s="174" t="n">
        <x:v>6604</x:v>
      </x:c>
      <x:c r="D23" s="175" t="n">
        <x:f>C23/$C$26</x:f>
        <x:v>0.1738306440999184</x:v>
      </x:c>
      <x:c r="E23" s="173" t="str">
        <x:v>Western/Tombs of the Kings corridor; 8015/8016/8045/8046 all cover Tombs-of-the-Kings/west-coast addresses.</x:v>
      </x:c>
      <x:c r="F23" s="201" t="str">
        <x:v>https://cystatdb.cystat.gov.cy/pxweb/en/8.CYSTAT-DB/8.CYSTAT-DB__Population__Census%20of%20Population%20and%20Housing%202021__Population__Population%20-%20Place%20of%20Residence/1891168E.px/table/tableViewLayout2/
https://geodata.gr/digital-maps/postal-codes-boundaries/
https://kingsavenuemall.com/contact-us/</x:v>
      </x:c>
    </x:row>
    <x:row r="24" ht="54" customHeight="1">
      <x:c r="A24" s="172" t="str">
        <x:v>Kato Paphos / harbour / south coast / Universal</x:v>
      </x:c>
      <x:c r="B24" s="173" t="str">
        <x:v>8035, 8036, 8040, 8041, 8042, 8048, 8049</x:v>
      </x:c>
      <x:c r="C24" s="174" t="n">
        <x:v>10417</x:v>
      </x:c>
      <x:c r="D24" s="175" t="n">
        <x:f>C24/$C$26</x:f>
        <x:v>0.2741965202284752</x:v>
      </x:c>
      <x:c r="E24" s="173" t="str">
        <x:v>Universal (8035/8036), harbour (8040/8041), south coast/Poseidonos (8042), and Kato Paphos/Universal transition (8048/8049).</x:v>
      </x:c>
      <x:c r="F24" s="201" t="str">
        <x:v>https://cystatdb.cystat.gov.cy/pxweb/en/8.CYSTAT-DB/8.CYSTAT-DB__Population__Census%20of%20Population%20and%20Housing%202021__Population__Population%20-%20Place%20of%20Residence/1891168E.px/table/tableViewLayout2/
https://geodata.gr/digital-maps/postal-codes-boundaries/
https://index.cy/sale/7929016-2-bedroom-house-for-sale-in-paphos-universal/
https://www.booking.com/hotel/cy/universal-apartment-with-a-view.html
https://www.paphospelicanrestaurant.com/
https://poseidon.cy/location
https://www.mof.gov.cy/mof/gpo/gazette.nsf/D22CB1CDA356AA21C2258728003A2A02/$file/4898%209%2010%202015%20KYRIO%20MEROS%20TMHMA%20B.pdf
https://www.booking.com/hotel/cy/cozy-oasis-lemon-tree-in-the-heart-of-kato-pafos.html</x:v>
      </x:c>
    </x:row>
    <x:row r="25" ht="54" customHeight="1">
      <x:c r="A25" s="177" t="str">
        <x:v>Outside the 3 requested zones</x:v>
      </x:c>
      <x:c r="B25" s="178" t="str">
        <x:v>8020, 8021, 8025, 8026, 8027, 8028</x:v>
      </x:c>
      <x:c r="C25" s="179" t="n">
        <x:f>C26-SUM(C22:C24)</x:f>
        <x:v>16134</x:v>
      </x:c>
      <x:c r="D25" s="180" t="n">
        <x:f>C25/$C$26</x:f>
        <x:v>0.42467952936221737</x:v>
      </x:c>
      <x:c r="E25" s="178" t="str">
        <x:v>Remaining Pafos Municipality postcodes; mainly northern/eastern residential areas not included in the three requested zones.</x:v>
      </x:c>
      <x:c r="F25" s="202" t="str">
        <x:v>https://cystatdb.cystat.gov.cy/pxweb/en/8.CYSTAT-DB/8.CYSTAT-DB__Population__Census%20of%20Population%20and%20Housing%202021__Population__Population%20-%20Place%20of%20Residence/1891168E.px/table/tableViewLayout2/
https://geodata.gr/digital-maps/postal-codes-boundaries/</x:v>
      </x:c>
    </x:row>
    <x:row r="26" ht="54" customHeight="1">
      <x:c r="A26" s="182" t="str">
        <x:v>TOTAL — Pafos Municipality</x:v>
      </x:c>
      <x:c r="B26" s="183" t="str">
        <x:v>All Pafos municipal postcodes</x:v>
      </x:c>
      <x:c r="C26" s="184" t="n">
        <x:v>37991</x:v>
      </x:c>
      <x:c r="D26" s="185" t="n">
        <x:v>1</x:v>
      </x:c>
      <x:c r="E26" s="183" t="str">
        <x:v>Official Census 2021 municipality total.</x:v>
      </x:c>
      <x:c r="F26" s="203" t="str">
        <x:v>https://cystatdb.cystat.gov.cy/pxweb/en/8.CYSTAT-DB/8.CYSTAT-DB__Population__Census%20of%20Population%20and%20Housing%202021__Population__Population%20-%20Place%20of%20Residence/1891168E.px/table/tableViewLayout2/</x:v>
      </x:c>
    </x:row>
    <x:row r="28">
      <x:c r="A28" s="131" t="str">
        <x:v>Official 2021 postcode inputs used in the custom zones</x:v>
      </x:c>
      <x:c r="B28" s="131"/>
      <x:c r="C28" s="131"/>
      <x:c r="D28" s="131"/>
      <x:c r="E28" s="131"/>
      <x:c r="F28" s="131"/>
    </x:row>
    <x:row r="29">
      <x:c r="A29" s="160" t="str">
        <x:v>Pafos postcode</x:v>
      </x:c>
      <x:c r="B29" s="161" t="str">
        <x:v>2021 residents</x:v>
      </x:c>
      <x:c r="C29" s="161" t="str">
        <x:v>Assigned custom zone</x:v>
      </x:c>
      <x:c r="D29" s="161" t="str">
        <x:v>Location evidence / interpretation</x:v>
      </x:c>
      <x:c r="E29" s="161" t="str">
        <x:v>Population source</x:v>
      </x:c>
      <x:c r="F29" s="162" t="str">
        <x:v>Mapping evidence URL</x:v>
      </x:c>
    </x:row>
    <x:row r="30" ht="34" customHeight="1">
      <x:c r="A30" s="172" t="n">
        <x:v>8010</x:v>
      </x:c>
      <x:c r="B30" s="187" t="n">
        <x:v>1453</x:v>
      </x:c>
      <x:c r="C30" s="173" t="str">
        <x:v>Ktima / Old Town</x:v>
      </x:c>
      <x:c r="D30" s="173" t="str">
        <x:v>Municipal Market / Old Town core</x:v>
      </x:c>
      <x:c r="E30" s="205" t="str">
        <x:v>https://cystatdb.cystat.gov.cy/pxweb/en/8.CYSTAT-DB/8.CYSTAT-DB__Population__Census%20of%20Population%20and%20Housing%202021__Population__Population%20-%20Place%20of%20Residence/1891168E.px/table/tableViewLayout2/</x:v>
      </x:c>
      <x:c r="F30" s="201" t="str">
        <x:v>https://baristrocoffeepaphos.com/contact/</x:v>
      </x:c>
    </x:row>
    <x:row r="31" ht="34" customHeight="1">
      <x:c r="A31" s="172" t="n">
        <x:v>8011</x:v>
      </x:c>
      <x:c r="B31" s="187" t="n">
        <x:v>2143</x:v>
      </x:c>
      <x:c r="C31" s="173" t="str">
        <x:v>Ktima / Old Town</x:v>
      </x:c>
      <x:c r="D31" s="173" t="str">
        <x:v>Adjacent upper-city / Ktima postcode area</x:v>
      </x:c>
      <x:c r="E31" s="205" t="str">
        <x:v>https://cystatdb.cystat.gov.cy/pxweb/en/8.CYSTAT-DB/8.CYSTAT-DB__Population__Census%20of%20Population%20and%20Housing%202021__Population__Population%20-%20Place%20of%20Residence/1891168E.px/table/tableViewLayout2/</x:v>
      </x:c>
      <x:c r="F31" s="201" t="str">
        <x:v>https://www.cypruspost.post/en/find-postal-codes</x:v>
      </x:c>
    </x:row>
    <x:row r="32" ht="34" customHeight="1">
      <x:c r="A32" s="172" t="n">
        <x:v>8047</x:v>
      </x:c>
      <x:c r="B32" s="187" t="n">
        <x:v>1240</x:v>
      </x:c>
      <x:c r="C32" s="173" t="str">
        <x:v>Ktima / Old Town</x:v>
      </x:c>
      <x:c r="D32" s="173" t="str">
        <x:v>Explicit Old Town address evidence</x:v>
      </x:c>
      <x:c r="E32" s="205" t="str">
        <x:v>https://cystatdb.cystat.gov.cy/pxweb/en/8.CYSTAT-DB/8.CYSTAT-DB__Population__Census%20of%20Population%20and%20Housing%202021__Population__Population%20-%20Place%20of%20Residence/1891168E.px/table/tableViewLayout2/</x:v>
      </x:c>
      <x:c r="F32" s="201" t="str">
        <x:v>https://baristrocoffeepaphos.com/contact/</x:v>
      </x:c>
    </x:row>
    <x:row r="33" ht="34" customHeight="1">
      <x:c r="A33" s="172" t="n">
        <x:v>8015</x:v>
      </x:c>
      <x:c r="B33" s="187" t="n">
        <x:v>1679</x:v>
      </x:c>
      <x:c r="C33" s="173" t="str">
        <x:v>Tombs of the Kings / West Paphos</x:v>
      </x:c>
      <x:c r="D33" s="173" t="str">
        <x:v>Tombs of the Kings archaeological corridor</x:v>
      </x:c>
      <x:c r="E33" s="205" t="str">
        <x:v>https://cystatdb.cystat.gov.cy/pxweb/en/8.CYSTAT-DB/8.CYSTAT-DB__Population__Census%20of%20Population%20and%20Housing%202021__Population__Population%20-%20Place%20of%20Residence/1891168E.px/table/tableViewLayout2/</x:v>
      </x:c>
      <x:c r="F33" s="201" t="str">
        <x:v>https://www.gov.cy/media/sites/26/2024/05/GASTRONOMY_PAFOS_JUNE2025_EN.pdf</x:v>
      </x:c>
    </x:row>
    <x:row r="34" ht="34" customHeight="1">
      <x:c r="A34" s="172" t="n">
        <x:v>8016</x:v>
      </x:c>
      <x:c r="B34" s="187" t="n">
        <x:v>1758</x:v>
      </x:c>
      <x:c r="C34" s="173" t="str">
        <x:v>Tombs of the Kings / West Paphos</x:v>
      </x:c>
      <x:c r="D34" s="173" t="str">
        <x:v>Tombs-of-the-Kings / western Pafos addresses</x:v>
      </x:c>
      <x:c r="E34" s="205" t="str">
        <x:v>https://cystatdb.cystat.gov.cy/pxweb/en/8.CYSTAT-DB/8.CYSTAT-DB__Population__Census%20of%20Population%20and%20Housing%202021__Population__Population%20-%20Place%20of%20Residence/1891168E.px/table/tableViewLayout2/</x:v>
      </x:c>
      <x:c r="F34" s="201" t="str">
        <x:v>https://www.mof.gov.cy/mof/gpo/gazette.nsf/759001DB030F10DBC2258863001C5470/$file/5371%2016%206%202022%20KYRIO%20MEROS%20TMHMA%20B.pdf</x:v>
      </x:c>
    </x:row>
    <x:row r="35" ht="34" customHeight="1">
      <x:c r="A35" s="172" t="n">
        <x:v>8045</x:v>
      </x:c>
      <x:c r="B35" s="187" t="n">
        <x:v>498</x:v>
      </x:c>
      <x:c r="C35" s="173" t="str">
        <x:v>Tombs of the Kings / West Paphos</x:v>
      </x:c>
      <x:c r="D35" s="173" t="str">
        <x:v>West-coast / Tombs of the Kings area</x:v>
      </x:c>
      <x:c r="E35" s="205" t="str">
        <x:v>https://cystatdb.cystat.gov.cy/pxweb/en/8.CYSTAT-DB/8.CYSTAT-DB__Population__Census%20of%20Population%20and%20Housing%202021__Population__Population%20-%20Place%20of%20Residence/1891168E.px/table/tableViewLayout2/</x:v>
      </x:c>
      <x:c r="F35" s="201" t="str">
        <x:v>https://www.visitpafos.org.cy/wp-content/uploads/2019/10/Hotels-Pafos-en.pdf</x:v>
      </x:c>
    </x:row>
    <x:row r="36" ht="34" customHeight="1">
      <x:c r="A36" s="172" t="n">
        <x:v>8046</x:v>
      </x:c>
      <x:c r="B36" s="187" t="n">
        <x:v>2669</x:v>
      </x:c>
      <x:c r="C36" s="173" t="str">
        <x:v>Tombs of the Kings / West Paphos</x:v>
      </x:c>
      <x:c r="D36" s="173" t="str">
        <x:v>Tombs of the Kings Avenue / Kings Avenue Mall</x:v>
      </x:c>
      <x:c r="E36" s="205" t="str">
        <x:v>https://cystatdb.cystat.gov.cy/pxweb/en/8.CYSTAT-DB/8.CYSTAT-DB__Population__Census%20of%20Population%20and%20Housing%202021__Population__Population%20-%20Place%20of%20Residence/1891168E.px/table/tableViewLayout2/</x:v>
      </x:c>
      <x:c r="F36" s="201" t="str">
        <x:v>https://kingsavenuemall.com/contact-us/</x:v>
      </x:c>
    </x:row>
    <x:row r="37" ht="34" customHeight="1">
      <x:c r="A37" s="172" t="n">
        <x:v>8035</x:v>
      </x:c>
      <x:c r="B37" s="187" t="n">
        <x:v>2362</x:v>
      </x:c>
      <x:c r="C37" s="173" t="str">
        <x:v>Kato Paphos / harbour / south coast / Universal</x:v>
      </x:c>
      <x:c r="D37" s="173" t="str">
        <x:v>Universal area</x:v>
      </x:c>
      <x:c r="E37" s="205" t="str">
        <x:v>https://cystatdb.cystat.gov.cy/pxweb/en/8.CYSTAT-DB/8.CYSTAT-DB__Population__Census%20of%20Population%20and%20Housing%202021__Population__Population%20-%20Place%20of%20Residence/1891168E.px/table/tableViewLayout2/</x:v>
      </x:c>
      <x:c r="F37" s="201" t="str">
        <x:v>https://index.cy/sale/7929016-2-bedroom-house-for-sale-in-paphos-universal/</x:v>
      </x:c>
    </x:row>
    <x:row r="38" ht="34" customHeight="1">
      <x:c r="A38" s="172" t="n">
        <x:v>8036</x:v>
      </x:c>
      <x:c r="B38" s="187" t="n">
        <x:v>2219</x:v>
      </x:c>
      <x:c r="C38" s="173" t="str">
        <x:v>Kato Paphos / harbour / south coast / Universal</x:v>
      </x:c>
      <x:c r="D38" s="173" t="str">
        <x:v>Universal area</x:v>
      </x:c>
      <x:c r="E38" s="205" t="str">
        <x:v>https://cystatdb.cystat.gov.cy/pxweb/en/8.CYSTAT-DB/8.CYSTAT-DB__Population__Census%20of%20Population%20and%20Housing%202021__Population__Population%20-%20Place%20of%20Residence/1891168E.px/table/tableViewLayout2/</x:v>
      </x:c>
      <x:c r="F38" s="201" t="str">
        <x:v>https://www.booking.com/hotel/cy/universal-apartment-with-a-view.html</x:v>
      </x:c>
    </x:row>
    <x:row r="39" ht="34" customHeight="1">
      <x:c r="A39" s="172" t="n">
        <x:v>8040</x:v>
      </x:c>
      <x:c r="B39" s="187" t="n">
        <x:v>174</x:v>
      </x:c>
      <x:c r="C39" s="173" t="str">
        <x:v>Kato Paphos / harbour / south coast / Universal</x:v>
      </x:c>
      <x:c r="D39" s="173" t="str">
        <x:v>Pafos Harbour</x:v>
      </x:c>
      <x:c r="E39" s="205" t="str">
        <x:v>https://cystatdb.cystat.gov.cy/pxweb/en/8.CYSTAT-DB/8.CYSTAT-DB__Population__Census%20of%20Population%20and%20Housing%202021__Population__Population%20-%20Place%20of%20Residence/1891168E.px/table/tableViewLayout2/</x:v>
      </x:c>
      <x:c r="F39" s="201" t="str">
        <x:v>https://www.paphospelicanrestaurant.com/</x:v>
      </x:c>
    </x:row>
    <x:row r="40" ht="34" customHeight="1">
      <x:c r="A40" s="172" t="n">
        <x:v>8041</x:v>
      </x:c>
      <x:c r="B40" s="187" t="n">
        <x:v>1063</x:v>
      </x:c>
      <x:c r="C40" s="173" t="str">
        <x:v>Kato Paphos / harbour / south coast / Universal</x:v>
      </x:c>
      <x:c r="D40" s="173" t="str">
        <x:v>Kato Paphos / harbour core</x:v>
      </x:c>
      <x:c r="E40" s="205" t="str">
        <x:v>https://cystatdb.cystat.gov.cy/pxweb/en/8.CYSTAT-DB/8.CYSTAT-DB__Population__Census%20of%20Population%20and%20Housing%202021__Population__Population%20-%20Place%20of%20Residence/1891168E.px/table/tableViewLayout2/</x:v>
      </x:c>
      <x:c r="F40" s="201" t="str">
        <x:v>https://www.visitpafos.org.cy/wp-content/uploads/2019/10/Hotels-Pafos-en.pdf</x:v>
      </x:c>
    </x:row>
    <x:row r="41" ht="34" customHeight="1">
      <x:c r="A41" s="172" t="n">
        <x:v>8042</x:v>
      </x:c>
      <x:c r="B41" s="187" t="n">
        <x:v>769</x:v>
      </x:c>
      <x:c r="C41" s="173" t="str">
        <x:v>Kato Paphos / harbour / south coast / Universal</x:v>
      </x:c>
      <x:c r="D41" s="173" t="str">
        <x:v>Poseidonos Avenue / south coast</x:v>
      </x:c>
      <x:c r="E41" s="205" t="str">
        <x:v>https://cystatdb.cystat.gov.cy/pxweb/en/8.CYSTAT-DB/8.CYSTAT-DB__Population__Census%20of%20Population%20and%20Housing%202021__Population__Population%20-%20Place%20of%20Residence/1891168E.px/table/tableViewLayout2/</x:v>
      </x:c>
      <x:c r="F41" s="201" t="str">
        <x:v>https://poseidon.cy/location</x:v>
      </x:c>
    </x:row>
    <x:row r="42" ht="34" customHeight="1">
      <x:c r="A42" s="172" t="n">
        <x:v>8048</x:v>
      </x:c>
      <x:c r="B42" s="187" t="n">
        <x:v>1443</x:v>
      </x:c>
      <x:c r="C42" s="173" t="str">
        <x:v>Kato Paphos / harbour / south coast / Universal</x:v>
      </x:c>
      <x:c r="D42" s="173" t="str">
        <x:v>Explicit Kato Paphos address evidence</x:v>
      </x:c>
      <x:c r="E42" s="205" t="str">
        <x:v>https://cystatdb.cystat.gov.cy/pxweb/en/8.CYSTAT-DB/8.CYSTAT-DB__Population__Census%20of%20Population%20and%20Housing%202021__Population__Population%20-%20Place%20of%20Residence/1891168E.px/table/tableViewLayout2/</x:v>
      </x:c>
      <x:c r="F42" s="201" t="str">
        <x:v>https://www.mof.gov.cy/mof/gpo/gazette.nsf/D22CB1CDA356AA21C2258728003A2A02/$file/4898%209%2010%202015%20KYRIO%20MEROS%20TMHMA%20B.pdf</x:v>
      </x:c>
    </x:row>
    <x:row r="43" ht="34" customHeight="1">
      <x:c r="A43" s="188" t="n">
        <x:v>8049</x:v>
      </x:c>
      <x:c r="B43" s="189" t="n">
        <x:v>2387</x:v>
      </x:c>
      <x:c r="C43" s="190" t="str">
        <x:v>Kato Paphos / harbour / south coast / Universal</x:v>
      </x:c>
      <x:c r="D43" s="190" t="str">
        <x:v>Kato Paphos / Universal transition</x:v>
      </x:c>
      <x:c r="E43" s="206" t="str">
        <x:v>https://cystatdb.cystat.gov.cy/pxweb/en/8.CYSTAT-DB/8.CYSTAT-DB__Population__Census%20of%20Population%20and%20Housing%202021__Population__Population%20-%20Place%20of%20Residence/1891168E.px/table/tableViewLayout2/</x:v>
      </x:c>
      <x:c r="F43" s="204" t="str">
        <x:v>https://www.booking.com/hotel/cy/cozy-oasis-lemon-tree-in-the-heart-of-kato-pafos.html</x:v>
      </x:c>
    </x:row>
    <x:row r="45" ht="36" customHeight="1">
      <x:c r="A45" s="138" t="str">
        <x:v>Primary population source: Statistical Service of Cyprus (CYSTAT), Census of Population and Housing 2021 — Housing Units, Households and Population Enumerated by District, Municipality/Community and Postal Code, 1.10.2021.</x:v>
      </x:c>
      <x:c r="B45" s="138"/>
      <x:c r="C45" s="138"/>
      <x:c r="D45" s="138"/>
      <x:c r="E45" s="138"/>
      <x:c r="F45" s="138"/>
    </x:row>
    <x:row r="46" ht="36" customHeight="1">
      <x:c r="A46" s="138" t="str">
        <x:v>Primary CYSTAT URL: https://cystatdb.cystat.gov.cy/pxweb/en/8.CYSTAT-DB/8.CYSTAT-DB__Population__Census%20of%20Population%20and%20Housing%202021__Population__Population%20-%20Place%20of%20Residence/1891168E.px/table/tableViewLayout2/</x:v>
      </x:c>
      <x:c r="B46" s="138"/>
      <x:c r="C46" s="138"/>
      <x:c r="D46" s="138"/>
      <x:c r="E46" s="138"/>
      <x:c r="F46" s="138"/>
    </x:row>
    <x:row r="47" ht="36" customHeight="1">
      <x:c r="A47" s="138" t="str">
        <x:v>Boundary/mapping note: postcode grouping is an analytical approximation for the user's named neighbourhood/tourism zones. CYSTAT does not publish these three zones as official census geographies.</x:v>
      </x:c>
      <x:c r="B47" s="138"/>
      <x:c r="C47" s="138"/>
      <x:c r="D47" s="138"/>
      <x:c r="E47" s="138"/>
      <x:c r="F47" s="138"/>
    </x:row>
  </x:sheetData>
  <x:mergeCells>
    <x:mergeCell ref="A1:F1"/>
    <x:mergeCell ref="A2:F2"/>
    <x:mergeCell ref="A18:F18"/>
    <x:mergeCell ref="A20:F20"/>
    <x:mergeCell ref="A28:F28"/>
    <x:mergeCell ref="A45:F45"/>
    <x:mergeCell ref="A46:F46"/>
    <x:mergeCell ref="A47:F47"/>
  </x:mergeCells>
  <x:pageMargins left="0.7" right="0.7" top="0.75" bottom="0.75" header="0.3" footer="0.3"/>
</x:worksheet>
</file>